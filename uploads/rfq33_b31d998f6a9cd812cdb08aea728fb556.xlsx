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<sst xmlns="http://schemas.openxmlformats.org/spreadsheetml/2006/main" count="82" uniqueCount="80">
  <si>
    <t>Wuhan kindlelaser Optoelectronic Co.,Ltd</t>
  </si>
  <si>
    <t xml:space="preserve">                                   Mob: +86-15571460776      </t>
  </si>
  <si>
    <t xml:space="preserve">E-mail: Teresa@kindlelaser.com   Zip :430070             </t>
  </si>
  <si>
    <t>Quotation</t>
  </si>
  <si>
    <t>Date:</t>
  </si>
  <si>
    <t>2026.07.01</t>
  </si>
  <si>
    <t>Validity:</t>
  </si>
  <si>
    <t>2025.07.31</t>
  </si>
  <si>
    <t xml:space="preserve">To:   Patti Lippert
</t>
  </si>
  <si>
    <t>From:Teresa</t>
  </si>
  <si>
    <t>Company: Wuhan kindlelaser Optoelectronic Co.,Ltd</t>
  </si>
  <si>
    <t>Tell:  426-931-6168</t>
  </si>
  <si>
    <t>Tel: +86 15571460776</t>
  </si>
  <si>
    <t>Add:  Laser Cutter Repair 19801 Esperanza Rd Yorba Linda CA 92886 Warehouse:
Laser Cutter Repair 1333-1395 North Manzanita
Orange CA 9286</t>
  </si>
  <si>
    <t xml:space="preserve">Add:52 Guang Road, Hongshan Dist, Wuhan City,Hubei, China/ 8 Shenton Way, </t>
  </si>
  <si>
    <t>Company:  Laser Cutter Repair</t>
  </si>
  <si>
    <t xml:space="preserve">Attn: Patti Lippert
</t>
  </si>
  <si>
    <t>Attn: Robert Chen</t>
  </si>
  <si>
    <t>Product information</t>
  </si>
  <si>
    <t>Quantity</t>
  </si>
  <si>
    <t>Price information</t>
  </si>
  <si>
    <t>AL No.</t>
  </si>
  <si>
    <t>Machine Name</t>
  </si>
  <si>
    <t>Model No.</t>
  </si>
  <si>
    <t>Qty</t>
  </si>
  <si>
    <t xml:space="preserve">Unit </t>
  </si>
  <si>
    <t xml:space="preserve">
FOB</t>
  </si>
  <si>
    <t xml:space="preserve">Total Price   </t>
  </si>
  <si>
    <t xml:space="preserve">CO2 Laser Cutting Machine </t>
  </si>
  <si>
    <t xml:space="preserve">1300*2500mm </t>
  </si>
  <si>
    <t>SET</t>
  </si>
  <si>
    <t xml:space="preserve">FOB  Shipping costs to </t>
  </si>
  <si>
    <t>Since FOB freight charges include export customs clearance fees, terminal handling charges, documentation fees, and miscellaneous costs—all of which are determined by your freight forwarder—this figure is merely an estimate; the final freight cost will be calculated based on the actual invoice issued by your freight forwarder at the time of shipment.</t>
  </si>
  <si>
    <t>In total</t>
  </si>
  <si>
    <t>Machine Configuration</t>
  </si>
  <si>
    <t>1.Working size</t>
  </si>
  <si>
    <t>1300x 2500mm</t>
  </si>
  <si>
    <t>2.Laser power</t>
  </si>
  <si>
    <t xml:space="preserve">W8 </t>
  </si>
  <si>
    <t>3.XY drive method</t>
  </si>
  <si>
    <t>Rack</t>
  </si>
  <si>
    <t>4.Motor</t>
  </si>
  <si>
    <t xml:space="preserve"> Servo motor </t>
  </si>
  <si>
    <t>5.Air compressor</t>
  </si>
  <si>
    <t>Equipped</t>
  </si>
  <si>
    <t>6.Controller</t>
  </si>
  <si>
    <t>RDV6445G CDD</t>
  </si>
  <si>
    <t>7..550w blower</t>
  </si>
  <si>
    <t>8.Working table</t>
  </si>
  <si>
    <t>Honeycomb Working Table/Blade Blank</t>
  </si>
  <si>
    <t>9.Guida rails</t>
  </si>
  <si>
    <t>Taiwan linear guide rails</t>
  </si>
  <si>
    <t>10.Format support</t>
  </si>
  <si>
    <t>AI, BMP, DXF, DST, PLT</t>
  </si>
  <si>
    <t>11.water chill</t>
  </si>
  <si>
    <t>CW5200</t>
  </si>
  <si>
    <t>12.Fan</t>
  </si>
  <si>
    <t>Dual 750W</t>
  </si>
  <si>
    <t>13.Hailea Blower</t>
  </si>
  <si>
    <t>180w</t>
  </si>
  <si>
    <t>14.Laser lens</t>
  </si>
  <si>
    <t xml:space="preserve">Imported American </t>
  </si>
  <si>
    <t>15.Tool box</t>
  </si>
  <si>
    <t>16.Voltage</t>
  </si>
  <si>
    <t xml:space="preserve">110V </t>
  </si>
  <si>
    <t>17.Machine Dimension:</t>
  </si>
  <si>
    <t>4000*2050*1200mm  Net weight:1200kg</t>
  </si>
  <si>
    <t xml:space="preserve">20.Branding Logo and Branding Card </t>
  </si>
  <si>
    <t>GHOST LASER</t>
  </si>
  <si>
    <t>Warranty: 24 months(Except consumbles,laser lens,laser tube)</t>
  </si>
  <si>
    <t>When any technical problem comes, will reply in 12 hours and help fix it, including video chat and technical guide</t>
  </si>
  <si>
    <t>Customer can come to our company for training for free,Engineer available to serve machine training overseas with charge</t>
  </si>
  <si>
    <t>Terms and conditions</t>
  </si>
  <si>
    <t xml:space="preserve">INCOTERM: FOB </t>
  </si>
  <si>
    <t>Payment Type:100% in advance.</t>
  </si>
  <si>
    <t>Delivery Time: 10 workdays after 100% deposit(Except holiday)</t>
  </si>
  <si>
    <t xml:space="preserve">Packing: Wood package </t>
  </si>
  <si>
    <t>Transportation: By Land Shipping</t>
  </si>
  <si>
    <t>Bank information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</si>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</sst>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\(0\)"/>
    <numFmt numFmtId="177" formatCode="[$-409]dd\-mmm\-yy;@"/>
    <numFmt numFmtId="178" formatCode="[$-409]d\-mmm\-yy;@"/>
    <numFmt numFmtId="179" formatCode="0_ "/>
    <numFmt numFmtId="180" formatCode="&quot;US$&quot;#,##0.00_);[Red]\(&quot;US$&quot;#,##0.00\)"/>
    <numFmt numFmtId="181" formatCode="&quot;US$&quot;#,##0.00;\-&quot;US$&quot;#,##0.00"/>
  </numFmts>
  <fonts count="31">
    <font>
      <sz val="11"/>
      <color theme="1"/>
      <name val="宋体"/>
      <charset val="134"/>
      <scheme val="minor"/>
    </font>
    <font>
      <sz val="11"/>
      <name val="等线"/>
      <charset val="134"/>
    </font>
    <font>
      <b/>
      <sz val="16"/>
      <name val="Arial"/>
      <charset val="134"/>
    </font>
    <font>
      <sz val="16"/>
      <name val="Arial"/>
      <charset val="134"/>
    </font>
    <font>
      <sz val="10"/>
      <name val="Arial"/>
      <charset val="134"/>
    </font>
    <font>
      <b/>
      <sz val="18"/>
      <name val="Arial"/>
      <charset val="134"/>
    </font>
    <font>
      <b/>
      <sz val="10"/>
      <name val="Arial"/>
      <charset val="134"/>
    </font>
    <font>
      <sz val="8"/>
      <color rgb="FF000000"/>
      <name val="宋体"/>
      <charset val="134"/>
    </font>
    <font>
      <sz val="8"/>
      <name val="Arial"/>
      <charset val="134"/>
    </font>
    <font>
      <sz val="11"/>
      <color rgb="FFFF0000"/>
      <name val="等线"/>
      <charset val="134"/>
    </font>
    <font>
      <b/>
      <sz val="10"/>
      <color rgb="FFFF0000"/>
      <name val="Arial"/>
      <charset val="134"/>
    </font>
    <font>
      <sz val="10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20" applyNumberFormat="0" applyAlignment="0" applyProtection="0">
      <alignment vertical="center"/>
    </xf>
    <xf numFmtId="0" fontId="21" fillId="4" borderId="21" applyNumberFormat="0" applyAlignment="0" applyProtection="0">
      <alignment vertical="center"/>
    </xf>
    <xf numFmtId="0" fontId="22" fillId="4" borderId="20" applyNumberFormat="0" applyAlignment="0" applyProtection="0">
      <alignment vertical="center"/>
    </xf>
    <xf numFmtId="0" fontId="23" fillId="5" borderId="22" applyNumberFormat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right" wrapText="1" shrinkToFit="1"/>
    </xf>
    <xf numFmtId="0" fontId="4" fillId="0" borderId="0" xfId="0" applyFont="1" applyFill="1" applyBorder="1" applyAlignment="1">
      <alignment horizontal="right" wrapText="1" shrinkToFit="1"/>
    </xf>
    <xf numFmtId="0" fontId="4" fillId="0" borderId="5" xfId="0" applyFont="1" applyFill="1" applyBorder="1" applyAlignment="1">
      <alignment horizontal="right" wrapText="1" shrinkToFit="1"/>
    </xf>
    <xf numFmtId="0" fontId="4" fillId="0" borderId="4" xfId="0" applyFont="1" applyFill="1" applyBorder="1" applyAlignment="1">
      <alignment horizontal="right" wrapText="1"/>
    </xf>
    <xf numFmtId="0" fontId="4" fillId="0" borderId="0" xfId="0" applyFont="1" applyFill="1" applyBorder="1" applyAlignment="1">
      <alignment horizontal="right" wrapText="1"/>
    </xf>
    <xf numFmtId="0" fontId="4" fillId="0" borderId="5" xfId="0" applyFont="1" applyFill="1" applyBorder="1" applyAlignment="1">
      <alignment horizontal="right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right" vertical="center"/>
    </xf>
    <xf numFmtId="176" fontId="6" fillId="0" borderId="0" xfId="0" applyNumberFormat="1" applyFont="1" applyFill="1" applyBorder="1" applyAlignment="1">
      <alignment horizontal="right" vertical="center"/>
    </xf>
    <xf numFmtId="177" fontId="6" fillId="0" borderId="5" xfId="0" applyNumberFormat="1" applyFont="1" applyFill="1" applyBorder="1" applyAlignment="1">
      <alignment horizontal="right" vertical="center"/>
    </xf>
    <xf numFmtId="0" fontId="6" fillId="0" borderId="4" xfId="0" applyNumberFormat="1" applyFont="1" applyFill="1" applyBorder="1" applyAlignment="1">
      <alignment horizontal="right" vertical="center" wrapText="1"/>
    </xf>
    <xf numFmtId="0" fontId="6" fillId="0" borderId="0" xfId="0" applyNumberFormat="1" applyFont="1" applyFill="1" applyBorder="1" applyAlignment="1">
      <alignment horizontal="right" vertical="center" wrapText="1"/>
    </xf>
    <xf numFmtId="178" fontId="6" fillId="0" borderId="0" xfId="0" applyNumberFormat="1" applyFont="1" applyFill="1" applyBorder="1" applyAlignment="1">
      <alignment horizontal="right" vertical="center" wrapText="1"/>
    </xf>
    <xf numFmtId="0" fontId="4" fillId="0" borderId="4" xfId="0" applyNumberFormat="1" applyFont="1" applyFill="1" applyBorder="1" applyAlignment="1">
      <alignment horizontal="left" wrapText="1"/>
    </xf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>
      <alignment horizontal="left" wrapText="1"/>
    </xf>
    <xf numFmtId="0" fontId="4" fillId="0" borderId="5" xfId="0" applyNumberFormat="1" applyFont="1" applyFill="1" applyBorder="1" applyAlignment="1">
      <alignment horizontal="left" wrapText="1"/>
    </xf>
    <xf numFmtId="0" fontId="4" fillId="0" borderId="4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 wrapText="1"/>
    </xf>
    <xf numFmtId="0" fontId="6" fillId="0" borderId="5" xfId="0" applyNumberFormat="1" applyFont="1" applyFill="1" applyBorder="1" applyAlignment="1">
      <alignment vertical="center" wrapText="1"/>
    </xf>
    <xf numFmtId="0" fontId="4" fillId="0" borderId="4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vertical="center" wrapText="1"/>
    </xf>
    <xf numFmtId="0" fontId="4" fillId="0" borderId="5" xfId="0" applyNumberFormat="1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center" vertical="center"/>
    </xf>
    <xf numFmtId="179" fontId="4" fillId="0" borderId="6" xfId="0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/>
    </xf>
    <xf numFmtId="180" fontId="8" fillId="0" borderId="6" xfId="0" applyNumberFormat="1" applyFont="1" applyFill="1" applyBorder="1" applyAlignment="1">
      <alignment horizontal="center" vertical="center" wrapText="1"/>
    </xf>
    <xf numFmtId="181" fontId="4" fillId="0" borderId="6" xfId="0" applyNumberFormat="1" applyFont="1" applyFill="1" applyBorder="1" applyAlignment="1">
      <alignment horizontal="center" vertical="center" wrapText="1"/>
    </xf>
    <xf numFmtId="0" fontId="4" fillId="0" borderId="9" xfId="0" applyNumberFormat="1" applyFont="1" applyFill="1" applyBorder="1" applyAlignment="1">
      <alignment horizontal="center" vertical="center" wrapText="1"/>
    </xf>
    <xf numFmtId="0" fontId="4" fillId="0" borderId="10" xfId="0" applyNumberFormat="1" applyFont="1" applyFill="1" applyBorder="1" applyAlignment="1">
      <alignment horizontal="center" vertical="center" wrapText="1"/>
    </xf>
    <xf numFmtId="181" fontId="4" fillId="0" borderId="11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6" fillId="0" borderId="9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 applyAlignment="1">
      <alignment vertical="center" wrapText="1"/>
    </xf>
    <xf numFmtId="181" fontId="10" fillId="0" borderId="11" xfId="0" applyNumberFormat="1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6" fillId="0" borderId="0" xfId="0" applyNumberFormat="1" applyFont="1" applyFill="1" applyAlignment="1">
      <alignment horizontal="left" vertical="center"/>
    </xf>
    <xf numFmtId="0" fontId="6" fillId="0" borderId="5" xfId="0" applyNumberFormat="1" applyFont="1" applyFill="1" applyBorder="1" applyAlignment="1">
      <alignment horizontal="left" vertical="center"/>
    </xf>
    <xf numFmtId="0" fontId="6" fillId="0" borderId="12" xfId="0" applyNumberFormat="1" applyFont="1" applyFill="1" applyBorder="1" applyAlignment="1">
      <alignment horizontal="left" vertical="center"/>
    </xf>
    <xf numFmtId="0" fontId="6" fillId="0" borderId="2" xfId="0" applyNumberFormat="1" applyFont="1" applyFill="1" applyBorder="1" applyAlignment="1">
      <alignment horizontal="left" vertical="center"/>
    </xf>
    <xf numFmtId="0" fontId="6" fillId="0" borderId="3" xfId="0" applyNumberFormat="1" applyFont="1" applyFill="1" applyBorder="1" applyAlignment="1">
      <alignment horizontal="left" vertical="center"/>
    </xf>
    <xf numFmtId="0" fontId="4" fillId="0" borderId="12" xfId="0" applyNumberFormat="1" applyFont="1" applyFill="1" applyBorder="1" applyAlignment="1">
      <alignment horizontal="left" vertical="center"/>
    </xf>
    <xf numFmtId="0" fontId="4" fillId="0" borderId="5" xfId="0" applyNumberFormat="1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4" fillId="0" borderId="13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left" vertical="center" wrapText="1"/>
    </xf>
    <xf numFmtId="0" fontId="8" fillId="0" borderId="2" xfId="0" applyNumberFormat="1" applyFont="1" applyFill="1" applyBorder="1" applyAlignment="1">
      <alignment horizontal="left" vertical="center" wrapText="1"/>
    </xf>
    <xf numFmtId="0" fontId="8" fillId="0" borderId="3" xfId="0" applyNumberFormat="1" applyFont="1" applyFill="1" applyBorder="1" applyAlignment="1">
      <alignment horizontal="left" vertical="center" wrapText="1"/>
    </xf>
    <xf numFmtId="0" fontId="4" fillId="0" borderId="14" xfId="0" applyNumberFormat="1" applyFont="1" applyFill="1" applyBorder="1" applyAlignment="1">
      <alignment horizontal="left" vertical="center"/>
    </xf>
    <xf numFmtId="0" fontId="4" fillId="0" borderId="15" xfId="0" applyNumberFormat="1" applyFont="1" applyFill="1" applyBorder="1" applyAlignment="1">
      <alignment horizontal="left" vertical="center"/>
    </xf>
    <xf numFmtId="0" fontId="4" fillId="0" borderId="15" xfId="0" applyNumberFormat="1" applyFont="1" applyFill="1" applyBorder="1" applyAlignment="1">
      <alignment vertical="center"/>
    </xf>
    <xf numFmtId="0" fontId="4" fillId="0" borderId="16" xfId="0" applyNumberFormat="1" applyFont="1" applyFill="1" applyBorder="1" applyAlignment="1">
      <alignment vertical="center"/>
    </xf>
    <xf numFmtId="0" fontId="6" fillId="0" borderId="9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4" fillId="0" borderId="9" xfId="0" applyNumberFormat="1" applyFont="1" applyFill="1" applyBorder="1" applyAlignment="1">
      <alignment horizontal="left" vertical="center" wrapText="1"/>
    </xf>
    <xf numFmtId="0" fontId="4" fillId="0" borderId="10" xfId="0" applyNumberFormat="1" applyFont="1" applyFill="1" applyBorder="1" applyAlignment="1">
      <alignment horizontal="left" vertical="center"/>
    </xf>
    <xf numFmtId="0" fontId="1" fillId="0" borderId="10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151130</xdr:colOff>
      <xdr:row>1</xdr:row>
      <xdr:rowOff>53340</xdr:rowOff>
    </xdr:from>
    <xdr:to>
      <xdr:col>0</xdr:col>
      <xdr:colOff>708025</xdr:colOff>
      <xdr:row>4</xdr:row>
      <xdr:rowOff>3810</xdr:rowOff>
    </xdr:to>
    <xdr:pic>
      <xdr:nvPicPr>
        <xdr:cNvPr id="2" name="图片 1" descr="738553609415142329"/>
        <xdr:cNvPicPr/>
      </xdr:nvPicPr>
      <xdr:blipFill>
        <a:blip r:embed="rId1"/>
        <a:srcRect l="34620" t="14786" r="27280" b="34283"/>
        <a:stretch>
          <a:fillRect/>
        </a:stretch>
      </xdr:blipFill>
      <xdr:spPr>
        <a:xfrm>
          <a:off x="151130" y="310515"/>
          <a:ext cx="556895" cy="49339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7</xdr:col>
      <xdr:colOff>453390</xdr:colOff>
      <xdr:row>43</xdr:row>
      <xdr:rowOff>93345</xdr:rowOff>
    </xdr:from>
    <xdr:to>
      <xdr:col>7</xdr:col>
      <xdr:colOff>1340485</xdr:colOff>
      <xdr:row>47</xdr:row>
      <xdr:rowOff>93980</xdr:rowOff>
    </xdr:to>
    <xdr:pic>
      <xdr:nvPicPr>
        <xdr:cNvPr id="3" name="图片 2" descr="779632540047172965"/>
        <xdr:cNvPicPr/>
      </xdr:nvPicPr>
      <xdr:blipFill>
        <a:blip r:embed="rId2">
          <a:clrChange>
            <a:clrFrom>
              <a:srgbClr val="F4F9F5"/>
            </a:clrFrom>
            <a:clrTo>
              <a:srgbClr val="F4F9F5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7421245" y="12472670"/>
          <a:ext cx="887095" cy="72453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74295</xdr:colOff>
      <xdr:row>15</xdr:row>
      <xdr:rowOff>197485</xdr:rowOff>
    </xdr:from>
    <xdr:to>
      <xdr:col>0</xdr:col>
      <xdr:colOff>2592705</xdr:colOff>
      <xdr:row>15</xdr:row>
      <xdr:rowOff>2172970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4295" y="4220210"/>
          <a:ext cx="2518410" cy="19754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"/>
  <sheetViews>
    <sheetView tabSelected="1" workbookViewId="0">
      <selection activeCell="A1" sqref="$A1:$XFD1048576"/>
    </sheetView>
  </sheetViews>
  <sheetFormatPr defaultColWidth="9" defaultRowHeight="14.25"/>
  <cols>
    <col min="1" max="1" width="36.1416666666667" style="1" customWidth="1"/>
    <col min="2" max="2" width="9" style="1"/>
    <col min="3" max="3" width="6.50833333333333" style="1" customWidth="1"/>
    <col min="4" max="4" width="14.1666666666667" style="1" customWidth="1"/>
    <col min="5" max="5" width="7.13333333333333" style="1" customWidth="1"/>
    <col min="6" max="6" width="5.88333333333333" style="1" customWidth="1"/>
    <col min="7" max="7" width="12.6083333333333" style="1" customWidth="1"/>
    <col min="8" max="8" width="22.3916666666667" style="1" customWidth="1"/>
    <col min="9" max="9" width="9" style="1"/>
    <col min="10" max="10" width="12.6333333333333" style="1"/>
    <col min="11" max="16384" width="9" style="1"/>
  </cols>
  <sheetData>
    <row r="1" s="1" customFormat="1" ht="20.25" spans="1:8">
      <c r="A1" s="2" t="s">
        <v>0</v>
      </c>
      <c r="B1" s="3"/>
      <c r="C1" s="3"/>
      <c r="D1" s="3"/>
      <c r="E1" s="3"/>
      <c r="F1" s="3"/>
      <c r="G1" s="3"/>
      <c r="H1" s="4"/>
    </row>
    <row r="2" s="1" customFormat="1" spans="1:8">
      <c r="A2" s="5"/>
      <c r="B2" s="6"/>
      <c r="C2" s="6"/>
      <c r="D2" s="6"/>
      <c r="E2" s="6"/>
      <c r="F2" s="6"/>
      <c r="G2" s="6"/>
      <c r="H2" s="7"/>
    </row>
    <row r="3" s="1" customFormat="1" spans="1:8">
      <c r="A3" s="8" t="s">
        <v>1</v>
      </c>
      <c r="B3" s="9"/>
      <c r="C3" s="9"/>
      <c r="D3" s="9"/>
      <c r="E3" s="9"/>
      <c r="F3" s="9"/>
      <c r="G3" s="9"/>
      <c r="H3" s="10"/>
    </row>
    <row r="4" s="1" customFormat="1" spans="1:8">
      <c r="A4" s="8" t="s">
        <v>2</v>
      </c>
      <c r="B4" s="9"/>
      <c r="C4" s="9"/>
      <c r="D4" s="9"/>
      <c r="E4" s="9"/>
      <c r="F4" s="9"/>
      <c r="G4" s="9"/>
      <c r="H4" s="10"/>
    </row>
    <row r="5" s="1" customFormat="1" ht="23.25" spans="1:8">
      <c r="A5" s="11" t="s">
        <v>3</v>
      </c>
      <c r="B5" s="12"/>
      <c r="C5" s="12"/>
      <c r="D5" s="12"/>
      <c r="E5" s="12"/>
      <c r="F5" s="12"/>
      <c r="G5" s="12"/>
      <c r="H5" s="13"/>
    </row>
    <row r="6" s="1" customFormat="1" spans="1:8">
      <c r="A6" s="14"/>
      <c r="B6" s="15"/>
      <c r="C6" s="15"/>
      <c r="D6" s="15"/>
      <c r="E6" s="15"/>
      <c r="F6" s="15"/>
      <c r="G6" s="15" t="s">
        <v>4</v>
      </c>
      <c r="H6" s="16" t="s">
        <v>5</v>
      </c>
    </row>
    <row r="7" s="1" customFormat="1" spans="1:8">
      <c r="A7" s="17"/>
      <c r="B7" s="18"/>
      <c r="C7" s="18"/>
      <c r="D7" s="18"/>
      <c r="E7" s="18"/>
      <c r="F7" s="19"/>
      <c r="G7" s="19" t="s">
        <v>6</v>
      </c>
      <c r="H7" s="16" t="s">
        <v>7</v>
      </c>
    </row>
    <row r="8" s="1" customFormat="1" ht="33" customHeight="1" spans="1:8">
      <c r="A8" s="20" t="s">
        <v>8</v>
      </c>
      <c r="B8" s="21"/>
      <c r="C8" s="21"/>
      <c r="D8" s="22" t="s">
        <v>9</v>
      </c>
      <c r="E8" s="23"/>
      <c r="F8" s="23"/>
      <c r="G8" s="23"/>
      <c r="H8" s="24"/>
    </row>
    <row r="9" s="1" customFormat="1" ht="11" customHeight="1" spans="1:8">
      <c r="A9" s="25"/>
      <c r="B9" s="26"/>
      <c r="C9" s="18"/>
      <c r="D9" s="27" t="s">
        <v>10</v>
      </c>
      <c r="E9" s="27"/>
      <c r="F9" s="28"/>
      <c r="G9" s="28"/>
      <c r="H9" s="29"/>
    </row>
    <row r="10" s="1" customFormat="1" spans="1:8">
      <c r="A10" s="25" t="s">
        <v>11</v>
      </c>
      <c r="B10" s="26"/>
      <c r="C10" s="18"/>
      <c r="D10" s="27" t="s">
        <v>12</v>
      </c>
      <c r="E10" s="27"/>
      <c r="F10" s="28"/>
      <c r="G10" s="28"/>
      <c r="H10" s="29"/>
    </row>
    <row r="11" s="1" customFormat="1" ht="51" spans="1:8">
      <c r="A11" s="30" t="s">
        <v>13</v>
      </c>
      <c r="B11" s="26"/>
      <c r="C11" s="18"/>
      <c r="D11" s="27" t="s">
        <v>14</v>
      </c>
      <c r="E11" s="27"/>
      <c r="F11" s="28"/>
      <c r="G11" s="28"/>
      <c r="H11" s="27"/>
    </row>
    <row r="12" s="1" customFormat="1" spans="1:8">
      <c r="A12" s="30" t="s">
        <v>15</v>
      </c>
      <c r="B12" s="26"/>
      <c r="C12" s="26"/>
      <c r="D12" s="27"/>
      <c r="E12" s="31"/>
      <c r="F12" s="31"/>
      <c r="G12" s="31"/>
      <c r="H12" s="31"/>
    </row>
    <row r="13" s="1" customFormat="1" spans="1:8">
      <c r="A13" s="30" t="s">
        <v>16</v>
      </c>
      <c r="B13" s="26"/>
      <c r="C13" s="26"/>
      <c r="D13" s="32" t="s">
        <v>17</v>
      </c>
      <c r="E13" s="31"/>
      <c r="F13" s="31"/>
      <c r="G13" s="31"/>
      <c r="H13" s="33"/>
    </row>
    <row r="14" s="1" customFormat="1" spans="1:8">
      <c r="A14" s="34"/>
      <c r="B14" s="34" t="s">
        <v>18</v>
      </c>
      <c r="C14" s="34"/>
      <c r="D14" s="34"/>
      <c r="E14" s="35" t="s">
        <v>19</v>
      </c>
      <c r="F14" s="35"/>
      <c r="G14" s="34" t="s">
        <v>20</v>
      </c>
      <c r="H14" s="34"/>
    </row>
    <row r="15" s="1" customFormat="1" ht="50" customHeight="1" spans="1:8">
      <c r="A15" s="36" t="s">
        <v>21</v>
      </c>
      <c r="B15" s="36" t="s">
        <v>22</v>
      </c>
      <c r="C15" s="36"/>
      <c r="D15" s="36" t="s">
        <v>23</v>
      </c>
      <c r="E15" s="36" t="s">
        <v>24</v>
      </c>
      <c r="F15" s="36" t="s">
        <v>25</v>
      </c>
      <c r="G15" s="37" t="s">
        <v>26</v>
      </c>
      <c r="H15" s="37" t="s">
        <v>27</v>
      </c>
    </row>
    <row r="16" s="1" customFormat="1" ht="185" customHeight="1" spans="1:8">
      <c r="A16" s="38"/>
      <c r="B16" s="39" t="s">
        <v>28</v>
      </c>
      <c r="C16" s="40"/>
      <c r="D16" s="41" t="s">
        <v>29</v>
      </c>
      <c r="E16" s="42">
        <v>1</v>
      </c>
      <c r="F16" s="42" t="s">
        <v>30</v>
      </c>
      <c r="G16" s="43">
        <v>6899</v>
      </c>
      <c r="H16" s="44">
        <f>E16*G16</f>
        <v>6899</v>
      </c>
    </row>
    <row r="17" s="1" customFormat="1" ht="100" customHeight="1" spans="1:11">
      <c r="A17" s="45" t="s">
        <v>31</v>
      </c>
      <c r="B17" s="46"/>
      <c r="C17" s="46"/>
      <c r="D17" s="46"/>
      <c r="E17" s="46"/>
      <c r="F17" s="46"/>
      <c r="G17" s="46"/>
      <c r="H17" s="47">
        <v>700</v>
      </c>
      <c r="I17" s="48" t="s">
        <v>32</v>
      </c>
      <c r="J17" s="49"/>
      <c r="K17" s="49"/>
    </row>
    <row r="18" s="1" customFormat="1" ht="19" customHeight="1" spans="1:11">
      <c r="A18" s="50" t="s">
        <v>33</v>
      </c>
      <c r="B18" s="51"/>
      <c r="C18" s="51"/>
      <c r="D18" s="51"/>
      <c r="E18" s="51"/>
      <c r="F18" s="51"/>
      <c r="G18" s="51"/>
      <c r="H18" s="52">
        <f>SUM(H16:H17)</f>
        <v>7599</v>
      </c>
    </row>
    <row r="19" s="1" customFormat="1" spans="1:11">
      <c r="A19" s="53" t="s">
        <v>34</v>
      </c>
      <c r="B19" s="54"/>
      <c r="C19" s="54"/>
      <c r="D19" s="54"/>
      <c r="E19" s="54"/>
      <c r="F19" s="54"/>
      <c r="G19" s="54"/>
      <c r="H19" s="55"/>
    </row>
    <row r="20" s="1" customFormat="1" spans="1:11">
      <c r="A20" s="56" t="s">
        <v>35</v>
      </c>
      <c r="B20" s="57" t="s">
        <v>36</v>
      </c>
      <c r="C20" s="57"/>
      <c r="D20" s="57"/>
      <c r="E20" s="57"/>
      <c r="F20" s="57"/>
      <c r="G20" s="57"/>
      <c r="H20" s="58"/>
    </row>
    <row r="21" s="1" customFormat="1" spans="1:11">
      <c r="A21" s="56" t="s">
        <v>37</v>
      </c>
      <c r="B21" s="59" t="s">
        <v>38</v>
      </c>
      <c r="C21" s="59"/>
      <c r="D21" s="59"/>
      <c r="E21" s="59"/>
      <c r="F21" s="59"/>
      <c r="G21" s="60"/>
      <c r="H21" s="61"/>
    </row>
    <row r="22" s="1" customFormat="1" spans="1:11">
      <c r="A22" s="56" t="s">
        <v>39</v>
      </c>
      <c r="B22" s="57" t="s">
        <v>40</v>
      </c>
      <c r="C22" s="57"/>
      <c r="D22" s="57"/>
      <c r="E22" s="57"/>
      <c r="F22" s="57"/>
      <c r="G22" s="57"/>
      <c r="H22" s="58"/>
    </row>
    <row r="23" s="1" customFormat="1" spans="1:11">
      <c r="A23" s="56" t="s">
        <v>41</v>
      </c>
      <c r="B23" s="57" t="s">
        <v>42</v>
      </c>
      <c r="C23" s="57"/>
      <c r="D23" s="57"/>
      <c r="E23" s="57"/>
      <c r="F23" s="57"/>
      <c r="G23" s="57"/>
      <c r="H23" s="58"/>
    </row>
    <row r="24" s="1" customFormat="1" spans="1:11">
      <c r="A24" s="56" t="s">
        <v>43</v>
      </c>
      <c r="B24" s="57" t="s">
        <v>44</v>
      </c>
      <c r="C24" s="57"/>
      <c r="D24" s="57"/>
      <c r="E24" s="57"/>
      <c r="F24" s="57"/>
      <c r="G24" s="57"/>
      <c r="H24" s="58"/>
    </row>
    <row r="25" s="1" customFormat="1" spans="1:11">
      <c r="A25" s="56" t="s">
        <v>45</v>
      </c>
      <c r="B25" s="57" t="s">
        <v>46</v>
      </c>
      <c r="C25" s="57"/>
      <c r="D25" s="57"/>
      <c r="E25" s="57"/>
      <c r="F25" s="57"/>
      <c r="G25" s="57"/>
      <c r="H25" s="58"/>
    </row>
    <row r="26" s="1" customFormat="1" spans="1:11">
      <c r="A26" s="56" t="s">
        <v>47</v>
      </c>
      <c r="B26" s="57" t="s">
        <v>44</v>
      </c>
      <c r="C26" s="57"/>
      <c r="D26" s="57"/>
      <c r="E26" s="57"/>
      <c r="F26" s="57"/>
      <c r="G26" s="57"/>
      <c r="H26" s="58"/>
    </row>
    <row r="27" s="1" customFormat="1" spans="1:11">
      <c r="A27" s="56" t="s">
        <v>48</v>
      </c>
      <c r="B27" s="57" t="s">
        <v>49</v>
      </c>
      <c r="C27" s="57"/>
      <c r="D27" s="57"/>
      <c r="E27" s="57"/>
      <c r="F27" s="57"/>
      <c r="G27" s="57"/>
      <c r="H27" s="58"/>
    </row>
    <row r="28" s="1" customFormat="1" spans="1:11">
      <c r="A28" s="56" t="s">
        <v>50</v>
      </c>
      <c r="B28" s="57" t="s">
        <v>51</v>
      </c>
      <c r="C28" s="57"/>
      <c r="D28" s="57"/>
      <c r="E28" s="57"/>
      <c r="F28" s="57"/>
      <c r="G28" s="57"/>
      <c r="H28" s="58"/>
    </row>
    <row r="29" s="1" customFormat="1" spans="1:11">
      <c r="A29" s="56" t="s">
        <v>52</v>
      </c>
      <c r="B29" s="57" t="s">
        <v>53</v>
      </c>
      <c r="C29" s="57"/>
      <c r="D29" s="57"/>
      <c r="E29" s="57"/>
      <c r="F29" s="57"/>
      <c r="G29" s="57"/>
      <c r="H29" s="58"/>
    </row>
    <row r="30" s="1" customFormat="1" spans="1:11">
      <c r="A30" s="56" t="s">
        <v>54</v>
      </c>
      <c r="B30" s="57" t="s">
        <v>55</v>
      </c>
      <c r="C30" s="57"/>
      <c r="D30" s="57"/>
      <c r="E30" s="57"/>
      <c r="F30" s="57"/>
      <c r="G30" s="57"/>
      <c r="H30" s="58"/>
    </row>
    <row r="31" s="1" customFormat="1" spans="1:11">
      <c r="A31" s="56" t="s">
        <v>56</v>
      </c>
      <c r="B31" s="57" t="s">
        <v>57</v>
      </c>
      <c r="C31" s="57"/>
      <c r="D31" s="57"/>
      <c r="E31" s="57"/>
      <c r="F31" s="57"/>
      <c r="G31" s="57"/>
      <c r="H31" s="58"/>
    </row>
    <row r="32" s="1" customFormat="1" ht="12" customHeight="1" spans="1:11">
      <c r="A32" s="56" t="s">
        <v>58</v>
      </c>
      <c r="B32" s="57" t="s">
        <v>59</v>
      </c>
      <c r="C32" s="57"/>
      <c r="D32" s="57"/>
      <c r="E32" s="57"/>
      <c r="F32" s="57"/>
      <c r="G32" s="57"/>
      <c r="H32" s="58"/>
    </row>
    <row r="33" s="1" customFormat="1" spans="1:8">
      <c r="A33" s="56" t="s">
        <v>60</v>
      </c>
      <c r="B33" s="57" t="s">
        <v>61</v>
      </c>
      <c r="C33" s="57"/>
      <c r="D33" s="57"/>
      <c r="E33" s="57"/>
      <c r="F33" s="57"/>
      <c r="G33" s="57"/>
      <c r="H33" s="58"/>
    </row>
    <row r="34" s="1" customFormat="1" spans="1:8">
      <c r="A34" s="56" t="s">
        <v>62</v>
      </c>
      <c r="B34" s="57" t="s">
        <v>44</v>
      </c>
      <c r="C34" s="57"/>
      <c r="D34" s="57"/>
      <c r="E34" s="57"/>
      <c r="F34" s="57"/>
      <c r="G34" s="57"/>
      <c r="H34" s="58"/>
    </row>
    <row r="35" s="1" customFormat="1" spans="1:8">
      <c r="A35" s="56" t="s">
        <v>63</v>
      </c>
      <c r="B35" s="57" t="s">
        <v>64</v>
      </c>
      <c r="C35" s="57"/>
      <c r="D35" s="57"/>
      <c r="E35" s="57"/>
      <c r="F35" s="57"/>
      <c r="G35" s="57"/>
      <c r="H35" s="58"/>
    </row>
    <row r="36" s="1" customFormat="1" spans="1:8">
      <c r="A36" s="56" t="s">
        <v>65</v>
      </c>
      <c r="B36" s="57" t="s">
        <v>66</v>
      </c>
      <c r="C36" s="57"/>
      <c r="D36" s="57"/>
      <c r="E36" s="57"/>
      <c r="F36" s="57"/>
      <c r="G36" s="57"/>
      <c r="H36" s="58"/>
    </row>
    <row r="37" s="1" customFormat="1" spans="1:8">
      <c r="A37" s="62" t="s">
        <v>67</v>
      </c>
      <c r="B37" s="62" t="s">
        <v>68</v>
      </c>
      <c r="C37" s="63"/>
      <c r="D37" s="63"/>
      <c r="E37" s="63"/>
      <c r="F37" s="63"/>
      <c r="G37" s="63"/>
      <c r="H37" s="64"/>
    </row>
    <row r="38" s="1" customFormat="1" spans="1:8">
      <c r="A38" s="65" t="s">
        <v>69</v>
      </c>
      <c r="B38" s="66"/>
      <c r="C38" s="66"/>
      <c r="D38" s="66"/>
      <c r="E38" s="66"/>
      <c r="F38" s="66"/>
      <c r="G38" s="66"/>
      <c r="H38" s="67"/>
    </row>
    <row r="39" s="1" customFormat="1" spans="1:8">
      <c r="A39" s="68" t="s">
        <v>70</v>
      </c>
      <c r="B39" s="26"/>
      <c r="C39" s="26"/>
      <c r="D39" s="26"/>
      <c r="E39" s="26"/>
      <c r="F39" s="26"/>
      <c r="G39" s="26"/>
      <c r="H39" s="69"/>
    </row>
    <row r="40" s="1" customFormat="1" spans="1:8">
      <c r="A40" s="68" t="s">
        <v>71</v>
      </c>
      <c r="B40" s="26"/>
      <c r="C40" s="26"/>
      <c r="D40" s="26"/>
      <c r="E40" s="26"/>
      <c r="F40" s="26"/>
      <c r="G40" s="26"/>
      <c r="H40" s="69"/>
    </row>
    <row r="41" s="1" customFormat="1" spans="1:8">
      <c r="A41" s="70" t="s">
        <v>72</v>
      </c>
      <c r="B41" s="71"/>
      <c r="C41" s="71"/>
      <c r="D41" s="71"/>
      <c r="E41" s="72"/>
      <c r="F41" s="72"/>
      <c r="G41" s="72"/>
      <c r="H41" s="73"/>
    </row>
    <row r="42" s="1" customFormat="1" spans="1:8">
      <c r="A42" s="74" t="s">
        <v>73</v>
      </c>
      <c r="B42" s="75"/>
      <c r="C42" s="75"/>
      <c r="D42" s="75"/>
      <c r="E42" s="75"/>
      <c r="F42" s="76"/>
      <c r="G42" s="76"/>
      <c r="H42" s="77"/>
    </row>
    <row r="43" s="1" customFormat="1" spans="1:8">
      <c r="A43" s="68" t="s">
        <v>74</v>
      </c>
      <c r="B43" s="26"/>
      <c r="C43" s="26"/>
      <c r="D43" s="26"/>
      <c r="E43" s="26"/>
      <c r="F43" s="31"/>
      <c r="G43" s="31"/>
      <c r="H43" s="33"/>
    </row>
    <row r="44" s="1" customFormat="1" spans="1:8">
      <c r="A44" s="68" t="s">
        <v>75</v>
      </c>
      <c r="B44" s="26"/>
      <c r="C44" s="26"/>
      <c r="D44" s="26"/>
      <c r="E44" s="26"/>
      <c r="F44" s="26"/>
      <c r="G44" s="26"/>
      <c r="H44" s="69"/>
    </row>
    <row r="45" s="1" customFormat="1" spans="1:8">
      <c r="A45" s="68" t="s">
        <v>76</v>
      </c>
      <c r="B45" s="26"/>
      <c r="C45" s="26"/>
      <c r="D45" s="26"/>
      <c r="E45" s="26"/>
      <c r="F45" s="26"/>
      <c r="G45" s="26"/>
      <c r="H45" s="69"/>
    </row>
    <row r="46" s="1" customFormat="1" spans="1:8">
      <c r="A46" s="78" t="s">
        <v>77</v>
      </c>
      <c r="B46" s="79"/>
      <c r="C46" s="79"/>
      <c r="D46" s="79"/>
      <c r="E46" s="80"/>
      <c r="F46" s="80"/>
      <c r="G46" s="80"/>
      <c r="H46" s="81"/>
    </row>
    <row r="47" s="1" customFormat="1" spans="1:8">
      <c r="A47" s="82" t="s">
        <v>78</v>
      </c>
      <c r="B47" s="83"/>
      <c r="C47" s="83"/>
      <c r="D47" s="83"/>
      <c r="E47" s="84"/>
      <c r="F47" s="84"/>
      <c r="G47" s="84"/>
      <c r="H47" s="85"/>
    </row>
    <row r="48" s="1" customFormat="1" ht="15" customHeight="1" spans="1:8">
      <c r="A48" s="86" t="s">
        <v>79</v>
      </c>
      <c r="B48" s="87"/>
      <c r="C48" s="87"/>
      <c r="D48" s="87"/>
      <c r="E48" s="87"/>
      <c r="F48" s="88"/>
      <c r="G48" s="88"/>
      <c r="H48" s="89"/>
    </row>
  </sheetData>
  <mergeCells count="39">
    <mergeCell ref="A1:H1"/>
    <mergeCell ref="A2:H2"/>
    <mergeCell ref="A3:H3"/>
    <mergeCell ref="A4:H4"/>
    <mergeCell ref="A5:H5"/>
    <mergeCell ref="A8:C8"/>
    <mergeCell ref="E8:H8"/>
    <mergeCell ref="A13:C13"/>
    <mergeCell ref="E13:H13"/>
    <mergeCell ref="B14:D14"/>
    <mergeCell ref="E14:F14"/>
    <mergeCell ref="G14:H14"/>
    <mergeCell ref="B15:C15"/>
    <mergeCell ref="B16:C16"/>
    <mergeCell ref="A17:G17"/>
    <mergeCell ref="I17:K17"/>
    <mergeCell ref="A19:H19"/>
    <mergeCell ref="B20:H20"/>
    <mergeCell ref="B21:H21"/>
    <mergeCell ref="B23:H23"/>
    <mergeCell ref="B24:H24"/>
    <mergeCell ref="B25:H25"/>
    <mergeCell ref="B27:H27"/>
    <mergeCell ref="B28:H28"/>
    <mergeCell ref="B29:H29"/>
    <mergeCell ref="B33:H33"/>
    <mergeCell ref="B34:H34"/>
    <mergeCell ref="B36:H36"/>
    <mergeCell ref="A38:H38"/>
    <mergeCell ref="A39:H39"/>
    <mergeCell ref="A40:H40"/>
    <mergeCell ref="A41:D41"/>
    <mergeCell ref="A42:E42"/>
    <mergeCell ref="A43:E43"/>
    <mergeCell ref="A44:H44"/>
    <mergeCell ref="A45:H45"/>
    <mergeCell ref="A46:D46"/>
    <mergeCell ref="A47:D47"/>
    <mergeCell ref="A48:E4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</cp:lastModifiedBy>
  <dcterms:created xsi:type="dcterms:W3CDTF">2026-07-09T00:46:26Z</dcterms:created>
  <dcterms:modified xsi:type="dcterms:W3CDTF">2026-07-09T00:47:38Z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86FEBE8ECDE64A7F96905ACD46560421_11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