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Fiber laser cutting machine" sheetId="2" r:id="rId1"/>
    <sheet name="CO2 laser cutting machine" sheetId="1" r:id="rId2"/>
    <sheet name="CO2 laser cutting machine 1325 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<sst xmlns="http://schemas.openxmlformats.org/spreadsheetml/2006/main" count="230" uniqueCount="108">
  <si>
    <t>Wuhan kindlelaser Optoelectronic Co.,Ltd</t>
  </si>
  <si>
    <t xml:space="preserve">                                   Mob: +86-15571460776      </t>
  </si>
  <si>
    <t xml:space="preserve">E-mail: Teresa@kindlelaser.com   Zip :430070             </t>
  </si>
  <si>
    <t>Quotation</t>
  </si>
  <si>
    <t>Date:</t>
  </si>
  <si>
    <t>2026.07.01</t>
  </si>
  <si>
    <t>Validity:</t>
  </si>
  <si>
    <t>2026.07.30</t>
  </si>
  <si>
    <t xml:space="preserve">To:   Patti Lippert
</t>
  </si>
  <si>
    <t>From:Teresa</t>
  </si>
  <si>
    <t>Company: Wuhan kindlelaser Optoelectronic Co.,Ltdd</t>
  </si>
  <si>
    <t>Tell:  426-931-6168</t>
  </si>
  <si>
    <t>Tel: +86 15571460776</t>
  </si>
  <si>
    <t>Add:  Laser Cutter Repair 19801 Esperanza Rd Yorba Linda CA 92886 Warehouse:
Laser Cutter Repair 1333-1395 North Manzanita
Orange CA 9286</t>
  </si>
  <si>
    <t xml:space="preserve">Add:52 Guang Road, Hongshan Dist, Wuhan City,Hubei, China/ 8 Shenton Way, </t>
  </si>
  <si>
    <t>Company:  Laser Cutter Repair</t>
  </si>
  <si>
    <t>#45-01, AXA Tower, Singapore 068811</t>
  </si>
  <si>
    <t xml:space="preserve">Attn: Patti Lippert
</t>
  </si>
  <si>
    <t>Attn: Robert Chen</t>
  </si>
  <si>
    <t>Product information</t>
  </si>
  <si>
    <t>Quantity</t>
  </si>
  <si>
    <t>Price information</t>
  </si>
  <si>
    <t>AL No.</t>
  </si>
  <si>
    <t>Machine Name</t>
  </si>
  <si>
    <t>Model No.</t>
  </si>
  <si>
    <t>Qty</t>
  </si>
  <si>
    <t xml:space="preserve">Unit </t>
  </si>
  <si>
    <t xml:space="preserve">
FOB</t>
  </si>
  <si>
    <t xml:space="preserve">Total Price   </t>
  </si>
  <si>
    <t xml:space="preserve">Fiber Laser Cutting Machine </t>
  </si>
  <si>
    <t>1500*3000mm 3000W</t>
  </si>
  <si>
    <t>SET</t>
  </si>
  <si>
    <t xml:space="preserve">FOB  Shipping costs to </t>
  </si>
  <si>
    <t>Since FOB freight charges include export customs clearance fees, terminal handling charges, documentation fees, and miscellaneous costs—all of which are determined by your freight forwarder—this figure is merely an estimate; the final freight cost will be calculated based on the actual invoice issued by your freight forwarder at the time of shipment.</t>
  </si>
  <si>
    <t>In total</t>
  </si>
  <si>
    <t>Machine Configuration</t>
  </si>
  <si>
    <t>1.Working size</t>
  </si>
  <si>
    <t>1500x3000mm</t>
  </si>
  <si>
    <t>2.Laser power</t>
  </si>
  <si>
    <t>3000W</t>
  </si>
  <si>
    <t>3.Empty operating speed</t>
  </si>
  <si>
    <t>0-60m/min</t>
  </si>
  <si>
    <t>4.cutting speed</t>
  </si>
  <si>
    <t>0-60 m/min</t>
  </si>
  <si>
    <t>5.Repeat positioning accuracy</t>
  </si>
  <si>
    <t>0.02 mm</t>
  </si>
  <si>
    <t>6.Control system</t>
  </si>
  <si>
    <t>BOCHU</t>
  </si>
  <si>
    <t>7.Driving mode</t>
  </si>
  <si>
    <t>High-precision Taiwanese gear racks and guide rails</t>
  </si>
  <si>
    <t>8.Laser source</t>
  </si>
  <si>
    <t>Raycus</t>
  </si>
  <si>
    <t>9.Laser head</t>
  </si>
  <si>
    <t>10.Machine Dimension:</t>
  </si>
  <si>
    <t>4050*2300*1800mm  Net weight:1600kg</t>
  </si>
  <si>
    <t>Warranty: 24 months(Except consumbles,laser lens,laser tube)</t>
  </si>
  <si>
    <t>When any technical problem comes, will reply in 12 hours and help fix it, including video chat and technical guide</t>
  </si>
  <si>
    <t>Customer can come to our company for training for free,Engineer available to serve machine training overseas with charge</t>
  </si>
  <si>
    <t>Terms and conditions</t>
  </si>
  <si>
    <t xml:space="preserve">INCOTERM: FOB </t>
  </si>
  <si>
    <t>Payment Type:100% in advance.</t>
  </si>
  <si>
    <t>Delivery Time: 10-15 workdays after 100% deposit(Except holiday)</t>
  </si>
  <si>
    <t>Transportation: By Land Shipping</t>
  </si>
  <si>
    <t>Bank information</t>
  </si>
  <si>
    <t xml:space="preserve">
</t>
  </si>
  <si>
    <t>2025.07.31</t>
  </si>
  <si>
    <t>Company: Wuhan kindlelaser Optoelectronic Co.,Ltd</t>
  </si>
  <si>
    <t xml:space="preserve">CO2 Laser Cutting Machine </t>
  </si>
  <si>
    <t xml:space="preserve">1300*2500mm </t>
  </si>
  <si>
    <t>1300x 2500mm</t>
  </si>
  <si>
    <t xml:space="preserve">W8 </t>
  </si>
  <si>
    <t>3.XY drive method</t>
  </si>
  <si>
    <t>Rack</t>
  </si>
  <si>
    <t>4.Motor</t>
  </si>
  <si>
    <t xml:space="preserve"> Servo motor </t>
  </si>
  <si>
    <t>5.Air compressor</t>
  </si>
  <si>
    <t>Equipped</t>
  </si>
  <si>
    <t>6.Controller</t>
  </si>
  <si>
    <t>RDV6445G CDD</t>
  </si>
  <si>
    <t>7..550w blower</t>
  </si>
  <si>
    <t>8.Working table</t>
  </si>
  <si>
    <t>Honeycomb Working Table/Blade Blank</t>
  </si>
  <si>
    <t>9.Guida rails</t>
  </si>
  <si>
    <t>Taiwan linear guide rails</t>
  </si>
  <si>
    <t>10.Format support</t>
  </si>
  <si>
    <t>AI, BMP, DXF, DST, PLT</t>
  </si>
  <si>
    <t>11.water chill</t>
  </si>
  <si>
    <t>CW5200</t>
  </si>
  <si>
    <t>12.Fan</t>
  </si>
  <si>
    <t>Dual 750W</t>
  </si>
  <si>
    <t>13.Hailea Blower</t>
  </si>
  <si>
    <t>180w</t>
  </si>
  <si>
    <t>14.Laser lens</t>
  </si>
  <si>
    <t xml:space="preserve">Imported American </t>
  </si>
  <si>
    <t>15.Tool box</t>
  </si>
  <si>
    <t>16.Voltage</t>
  </si>
  <si>
    <t xml:space="preserve">110V </t>
  </si>
  <si>
    <t>17.Machine Dimension:</t>
  </si>
  <si>
    <t>4000*2050*1200mm  Net weight:1200kg</t>
  </si>
  <si>
    <t xml:space="preserve">20.Branding Logo and Branding Card </t>
  </si>
  <si>
    <t>GHOST LASER</t>
  </si>
  <si>
    <t>Delivery Time: 10 workdays after 100% deposit(Except holiday)</t>
  </si>
  <si>
    <t xml:space="preserve">Packing: Wood package </t>
  </si>
  <si>
    <t>2026.07.08</t>
  </si>
  <si>
    <t>1300*2500mm 500w</t>
  </si>
  <si>
    <t>500W</t>
  </si>
  <si>
    <t>JZ6000</t>
  </si>
  <si>
    <t>500w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</si>
</sst>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[$-409]dd\-mmm\-yy;@"/>
    <numFmt numFmtId="178" formatCode="[$-409]d\-mmm\-yy;@"/>
    <numFmt numFmtId="179" formatCode="0_ "/>
    <numFmt numFmtId="180" formatCode="&quot;US$&quot;#,##0.00_);[Red]\(&quot;US$&quot;#,##0.00\)"/>
    <numFmt numFmtId="181" formatCode="&quot;US$&quot;#,##0.00;\-&quot;US$&quot;#,##0.00"/>
  </numFmts>
  <fonts count="31">
    <font>
      <sz val="11"/>
      <name val="等线"/>
      <charset val="134"/>
    </font>
    <font>
      <b/>
      <sz val="16"/>
      <name val="Arial"/>
      <charset val="134"/>
    </font>
    <font>
      <sz val="16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sz val="8"/>
      <color rgb="FF000000"/>
      <name val="宋体"/>
      <charset val="134"/>
    </font>
    <font>
      <sz val="8"/>
      <name val="Arial"/>
      <charset val="134"/>
    </font>
    <font>
      <sz val="11"/>
      <color rgb="FFFF0000"/>
      <name val="等线"/>
      <charset val="134"/>
    </font>
    <font>
      <b/>
      <sz val="10"/>
      <color rgb="FFFF0000"/>
      <name val="Arial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0" applyNumberFormat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right" wrapText="1" shrinkToFit="1"/>
    </xf>
    <xf numFmtId="0" fontId="3" fillId="0" borderId="0" xfId="0" applyFont="1" applyFill="1" applyBorder="1" applyAlignment="1">
      <alignment horizontal="right" wrapText="1" shrinkToFit="1"/>
    </xf>
    <xf numFmtId="0" fontId="3" fillId="0" borderId="5" xfId="0" applyFont="1" applyFill="1" applyBorder="1" applyAlignment="1">
      <alignment horizontal="right" wrapText="1" shrinkToFit="1"/>
    </xf>
    <xf numFmtId="0" fontId="3" fillId="0" borderId="4" xfId="0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right" wrapText="1"/>
    </xf>
    <xf numFmtId="0" fontId="3" fillId="0" borderId="5" xfId="0" applyFont="1" applyFill="1" applyBorder="1" applyAlignment="1">
      <alignment horizontal="right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right" vertical="center"/>
    </xf>
    <xf numFmtId="176" fontId="5" fillId="0" borderId="0" xfId="0" applyNumberFormat="1" applyFont="1" applyFill="1" applyBorder="1" applyAlignment="1">
      <alignment horizontal="right" vertical="center"/>
    </xf>
    <xf numFmtId="177" fontId="5" fillId="0" borderId="5" xfId="0" applyNumberFormat="1" applyFont="1" applyFill="1" applyBorder="1" applyAlignment="1">
      <alignment horizontal="right" vertical="center"/>
    </xf>
    <xf numFmtId="0" fontId="5" fillId="0" borderId="4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>
      <alignment horizontal="right" vertical="center" wrapText="1"/>
    </xf>
    <xf numFmtId="178" fontId="5" fillId="0" borderId="0" xfId="0" applyNumberFormat="1" applyFont="1" applyFill="1" applyBorder="1" applyAlignment="1">
      <alignment horizontal="right" vertical="center" wrapText="1"/>
    </xf>
    <xf numFmtId="0" fontId="3" fillId="0" borderId="4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horizontal="left" wrapText="1"/>
    </xf>
    <xf numFmtId="0" fontId="3" fillId="0" borderId="5" xfId="0" applyNumberFormat="1" applyFont="1" applyFill="1" applyBorder="1" applyAlignment="1">
      <alignment horizontal="left" wrapText="1"/>
    </xf>
    <xf numFmtId="0" fontId="3" fillId="0" borderId="4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>
      <alignment vertical="center"/>
    </xf>
    <xf numFmtId="0" fontId="5" fillId="0" borderId="0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/>
    </xf>
    <xf numFmtId="179" fontId="3" fillId="0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 wrapText="1"/>
    </xf>
    <xf numFmtId="181" fontId="3" fillId="0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181" fontId="3" fillId="0" borderId="11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Fill="1" applyBorder="1" applyAlignment="1">
      <alignment vertical="center" wrapText="1"/>
    </xf>
    <xf numFmtId="181" fontId="9" fillId="0" borderId="11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5" fillId="0" borderId="5" xfId="0" applyNumberFormat="1" applyFont="1" applyFill="1" applyBorder="1" applyAlignment="1">
      <alignment horizontal="left" vertical="center"/>
    </xf>
    <xf numFmtId="0" fontId="5" fillId="0" borderId="12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0" fontId="3" fillId="0" borderId="12" xfId="0" applyNumberFormat="1" applyFont="1" applyFill="1" applyBorder="1" applyAlignment="1">
      <alignment horizontal="left" vertical="center"/>
    </xf>
    <xf numFmtId="0" fontId="3" fillId="0" borderId="5" xfId="0" applyNumberFormat="1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3" fillId="0" borderId="13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horizontal="left" vertical="center" wrapText="1"/>
    </xf>
    <xf numFmtId="0" fontId="3" fillId="0" borderId="14" xfId="0" applyNumberFormat="1" applyFont="1" applyFill="1" applyBorder="1" applyAlignment="1">
      <alignment horizontal="left" vertical="center"/>
    </xf>
    <xf numFmtId="0" fontId="3" fillId="0" borderId="15" xfId="0" applyNumberFormat="1" applyFont="1" applyFill="1" applyBorder="1" applyAlignment="1">
      <alignment horizontal="left" vertical="center"/>
    </xf>
    <xf numFmtId="0" fontId="3" fillId="0" borderId="15" xfId="0" applyNumberFormat="1" applyFont="1" applyFill="1" applyBorder="1">
      <alignment vertical="center"/>
    </xf>
    <xf numFmtId="0" fontId="3" fillId="0" borderId="16" xfId="0" applyNumberFormat="1" applyFont="1" applyFill="1" applyBorder="1">
      <alignment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3" fillId="0" borderId="9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13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151130</xdr:colOff>
      <xdr:row>1</xdr:row>
      <xdr:rowOff>53340</xdr:rowOff>
    </xdr:from>
    <xdr:to>
      <xdr:col>0</xdr:col>
      <xdr:colOff>708025</xdr:colOff>
      <xdr:row>4</xdr:row>
      <xdr:rowOff>3810</xdr:rowOff>
    </xdr:to>
    <xdr:pic>
      <xdr:nvPicPr>
        <xdr:cNvPr id="2" name="图片 1" descr="738553609415142329"/>
        <xdr:cNvPicPr/>
      </xdr:nvPicPr>
      <xdr:blipFill>
        <a:blip r:embed="rId1"/>
        <a:srcRect l="34620" t="14786" r="27280" b="34283"/>
        <a:stretch>
          <a:fillRect/>
        </a:stretch>
      </xdr:blipFill>
      <xdr:spPr>
        <a:xfrm>
          <a:off x="151130" y="310515"/>
          <a:ext cx="556895" cy="4933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453390</xdr:colOff>
      <xdr:row>35</xdr:row>
      <xdr:rowOff>93345</xdr:rowOff>
    </xdr:from>
    <xdr:to>
      <xdr:col>7</xdr:col>
      <xdr:colOff>1340485</xdr:colOff>
      <xdr:row>38</xdr:row>
      <xdr:rowOff>93980</xdr:rowOff>
    </xdr:to>
    <xdr:pic>
      <xdr:nvPicPr>
        <xdr:cNvPr id="3" name="图片 2" descr="779632540047172965"/>
        <xdr:cNvPicPr/>
      </xdr:nvPicPr>
      <xdr:blipFill>
        <a:blip r:embed="rId2">
          <a:clrChange>
            <a:clrFrom>
              <a:srgbClr val="F4F9F5"/>
            </a:clrFrom>
            <a:clrTo>
              <a:srgbClr val="F4F9F5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421245" y="11472545"/>
          <a:ext cx="887095" cy="5435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233680</xdr:colOff>
      <xdr:row>15</xdr:row>
      <xdr:rowOff>120650</xdr:rowOff>
    </xdr:from>
    <xdr:to>
      <xdr:col>0</xdr:col>
      <xdr:colOff>2351405</xdr:colOff>
      <xdr:row>15</xdr:row>
      <xdr:rowOff>2152015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3680" y="4397375"/>
          <a:ext cx="2117725" cy="2031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203200</xdr:colOff>
      <xdr:row>16</xdr:row>
      <xdr:rowOff>208915</xdr:rowOff>
    </xdr:to>
    <xdr:pic>
      <xdr:nvPicPr>
        <xdr:cNvPr id="4" name="图片 3" descr="I want laser nozel for stainless steel and wood and acrylic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72225"/>
          <a:ext cx="203200" cy="2089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151130</xdr:colOff>
      <xdr:row>1</xdr:row>
      <xdr:rowOff>53340</xdr:rowOff>
    </xdr:from>
    <xdr:to>
      <xdr:col>0</xdr:col>
      <xdr:colOff>708025</xdr:colOff>
      <xdr:row>4</xdr:row>
      <xdr:rowOff>3810</xdr:rowOff>
    </xdr:to>
    <xdr:pic>
      <xdr:nvPicPr>
        <xdr:cNvPr id="6" name="图片 5" descr="738553609415142329"/>
        <xdr:cNvPicPr/>
      </xdr:nvPicPr>
      <xdr:blipFill>
        <a:blip r:embed="rId1"/>
        <a:srcRect l="34620" t="14786" r="27280" b="34283"/>
        <a:stretch>
          <a:fillRect/>
        </a:stretch>
      </xdr:blipFill>
      <xdr:spPr>
        <a:xfrm>
          <a:off x="151130" y="310515"/>
          <a:ext cx="556895" cy="4933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453390</xdr:colOff>
      <xdr:row>43</xdr:row>
      <xdr:rowOff>93345</xdr:rowOff>
    </xdr:from>
    <xdr:to>
      <xdr:col>7</xdr:col>
      <xdr:colOff>1340485</xdr:colOff>
      <xdr:row>47</xdr:row>
      <xdr:rowOff>93980</xdr:rowOff>
    </xdr:to>
    <xdr:pic>
      <xdr:nvPicPr>
        <xdr:cNvPr id="8" name="图片 7" descr="779632540047172965"/>
        <xdr:cNvPicPr/>
      </xdr:nvPicPr>
      <xdr:blipFill>
        <a:blip r:embed="rId2">
          <a:clrChange>
            <a:clrFrom>
              <a:srgbClr val="F4F9F5"/>
            </a:clrFrom>
            <a:clrTo>
              <a:srgbClr val="F4F9F5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421245" y="12472670"/>
          <a:ext cx="887095" cy="7245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74295</xdr:colOff>
      <xdr:row>15</xdr:row>
      <xdr:rowOff>197485</xdr:rowOff>
    </xdr:from>
    <xdr:to>
      <xdr:col>0</xdr:col>
      <xdr:colOff>2592705</xdr:colOff>
      <xdr:row>15</xdr:row>
      <xdr:rowOff>2172970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295" y="4220210"/>
          <a:ext cx="2518410" cy="1975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151130</xdr:colOff>
      <xdr:row>1</xdr:row>
      <xdr:rowOff>53340</xdr:rowOff>
    </xdr:from>
    <xdr:to>
      <xdr:col>0</xdr:col>
      <xdr:colOff>708025</xdr:colOff>
      <xdr:row>4</xdr:row>
      <xdr:rowOff>3810</xdr:rowOff>
    </xdr:to>
    <xdr:pic>
      <xdr:nvPicPr>
        <xdr:cNvPr id="2" name="图片 1" descr="738553609415142329"/>
        <xdr:cNvPicPr/>
      </xdr:nvPicPr>
      <xdr:blipFill>
        <a:blip r:embed="rId1"/>
        <a:srcRect l="34620" t="14786" r="27280" b="34283"/>
        <a:stretch>
          <a:fillRect/>
        </a:stretch>
      </xdr:blipFill>
      <xdr:spPr>
        <a:xfrm>
          <a:off x="151130" y="310515"/>
          <a:ext cx="556895" cy="4933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453390</xdr:colOff>
      <xdr:row>43</xdr:row>
      <xdr:rowOff>93345</xdr:rowOff>
    </xdr:from>
    <xdr:to>
      <xdr:col>7</xdr:col>
      <xdr:colOff>1340485</xdr:colOff>
      <xdr:row>47</xdr:row>
      <xdr:rowOff>93980</xdr:rowOff>
    </xdr:to>
    <xdr:pic>
      <xdr:nvPicPr>
        <xdr:cNvPr id="3" name="图片 2" descr="779632540047172965"/>
        <xdr:cNvPicPr/>
      </xdr:nvPicPr>
      <xdr:blipFill>
        <a:blip r:embed="rId2">
          <a:clrChange>
            <a:clrFrom>
              <a:srgbClr val="F4F9F5"/>
            </a:clrFrom>
            <a:clrTo>
              <a:srgbClr val="F4F9F5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8502015" y="15555595"/>
          <a:ext cx="851535" cy="7245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114300</xdr:colOff>
      <xdr:row>15</xdr:row>
      <xdr:rowOff>542925</xdr:rowOff>
    </xdr:from>
    <xdr:to>
      <xdr:col>0</xdr:col>
      <xdr:colOff>2089150</xdr:colOff>
      <xdr:row>15</xdr:row>
      <xdr:rowOff>2099310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300" y="5118100"/>
          <a:ext cx="1974850" cy="1556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M2" sqref="M2"/>
    </sheetView>
  </sheetViews>
  <sheetFormatPr defaultColWidth="9" defaultRowHeight="14.25"/>
  <cols>
    <col min="1" max="1" width="36.1416666666667" customWidth="1"/>
    <col min="3" max="3" width="6.50833333333333" customWidth="1"/>
    <col min="4" max="4" width="14.1666666666667" customWidth="1"/>
    <col min="5" max="5" width="7.13333333333333" customWidth="1"/>
    <col min="6" max="6" width="5.88333333333333" customWidth="1"/>
    <col min="7" max="7" width="12.6083333333333" customWidth="1"/>
    <col min="8" max="8" width="22.3916666666667" customWidth="1"/>
    <col min="9" max="9" width="25.5" customWidth="1"/>
    <col min="10" max="10" width="12.6333333333333"/>
  </cols>
  <sheetData>
    <row r="1" ht="20.25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/>
      <c r="B2" s="5"/>
      <c r="C2" s="5"/>
      <c r="D2" s="5"/>
      <c r="E2" s="5"/>
      <c r="F2" s="5"/>
      <c r="G2" s="5"/>
      <c r="H2" s="6"/>
    </row>
    <row r="3" spans="1:8">
      <c r="A3" s="7" t="s">
        <v>1</v>
      </c>
      <c r="B3" s="8"/>
      <c r="C3" s="8"/>
      <c r="D3" s="8"/>
      <c r="E3" s="8"/>
      <c r="F3" s="8"/>
      <c r="G3" s="8"/>
      <c r="H3" s="9"/>
    </row>
    <row r="4" spans="1:8">
      <c r="A4" s="7" t="s">
        <v>2</v>
      </c>
      <c r="B4" s="8"/>
      <c r="C4" s="8"/>
      <c r="D4" s="8"/>
      <c r="E4" s="8"/>
      <c r="F4" s="8"/>
      <c r="G4" s="8"/>
      <c r="H4" s="9"/>
    </row>
    <row r="5" ht="23.25" spans="1:8">
      <c r="A5" s="10" t="s">
        <v>3</v>
      </c>
      <c r="B5" s="11"/>
      <c r="C5" s="11"/>
      <c r="D5" s="11"/>
      <c r="E5" s="11"/>
      <c r="F5" s="11"/>
      <c r="G5" s="11"/>
      <c r="H5" s="12"/>
    </row>
    <row r="6" spans="1:8">
      <c r="A6" s="13"/>
      <c r="B6" s="14"/>
      <c r="C6" s="14"/>
      <c r="D6" s="14"/>
      <c r="E6" s="14"/>
      <c r="F6" s="14"/>
      <c r="G6" s="14" t="s">
        <v>4</v>
      </c>
      <c r="H6" s="15" t="s">
        <v>5</v>
      </c>
    </row>
    <row r="7" spans="1:8">
      <c r="A7" s="16"/>
      <c r="B7" s="17"/>
      <c r="C7" s="17"/>
      <c r="D7" s="17"/>
      <c r="E7" s="17"/>
      <c r="F7" s="18"/>
      <c r="G7" s="18" t="s">
        <v>6</v>
      </c>
      <c r="H7" s="15" t="s">
        <v>7</v>
      </c>
    </row>
    <row r="8" ht="33" customHeight="1" spans="1:8">
      <c r="A8" s="19" t="s">
        <v>8</v>
      </c>
      <c r="B8" s="20"/>
      <c r="C8" s="20"/>
      <c r="D8" s="21" t="s">
        <v>9</v>
      </c>
      <c r="E8" s="22"/>
      <c r="F8" s="22"/>
      <c r="G8" s="22"/>
      <c r="H8" s="23"/>
    </row>
    <row r="9" ht="11" customHeight="1" spans="1:8">
      <c r="A9" s="24"/>
      <c r="B9" s="25"/>
      <c r="C9" s="17"/>
      <c r="D9" s="26" t="s">
        <v>10</v>
      </c>
      <c r="E9" s="26"/>
      <c r="F9" s="27"/>
      <c r="G9" s="27"/>
      <c r="H9" s="28"/>
    </row>
    <row r="10" spans="1:8">
      <c r="A10" s="24" t="s">
        <v>11</v>
      </c>
      <c r="B10" s="25"/>
      <c r="C10" s="17"/>
      <c r="D10" s="26" t="s">
        <v>12</v>
      </c>
      <c r="E10" s="26"/>
      <c r="F10" s="27"/>
      <c r="G10" s="27"/>
      <c r="H10" s="28"/>
    </row>
    <row r="11" ht="71" customHeight="1" spans="1:8">
      <c r="A11" s="29" t="s">
        <v>13</v>
      </c>
      <c r="B11" s="25"/>
      <c r="C11" s="17"/>
      <c r="D11" s="26" t="s">
        <v>14</v>
      </c>
      <c r="E11" s="26"/>
      <c r="F11" s="27"/>
      <c r="G11" s="27"/>
      <c r="H11" s="26"/>
    </row>
    <row r="12" spans="1:8">
      <c r="A12" s="29" t="s">
        <v>15</v>
      </c>
      <c r="B12" s="25"/>
      <c r="C12" s="25"/>
      <c r="D12" s="31" t="s">
        <v>16</v>
      </c>
      <c r="E12" s="32"/>
      <c r="F12" s="32"/>
      <c r="G12" s="32"/>
      <c r="H12" s="32"/>
    </row>
    <row r="13" spans="1:8">
      <c r="A13" s="29" t="s">
        <v>17</v>
      </c>
      <c r="B13" s="25"/>
      <c r="C13" s="25"/>
      <c r="D13" s="34" t="s">
        <v>18</v>
      </c>
      <c r="E13" s="32"/>
      <c r="F13" s="32"/>
      <c r="G13" s="32"/>
      <c r="H13" s="33"/>
    </row>
    <row r="14" spans="1:8">
      <c r="A14" s="35"/>
      <c r="B14" s="35" t="s">
        <v>19</v>
      </c>
      <c r="C14" s="35"/>
      <c r="D14" s="35"/>
      <c r="E14" s="36" t="s">
        <v>20</v>
      </c>
      <c r="F14" s="36"/>
      <c r="G14" s="35" t="s">
        <v>21</v>
      </c>
      <c r="H14" s="35"/>
    </row>
    <row r="15" ht="50" customHeight="1" spans="1:8">
      <c r="A15" s="37" t="s">
        <v>22</v>
      </c>
      <c r="B15" s="37" t="s">
        <v>23</v>
      </c>
      <c r="C15" s="37"/>
      <c r="D15" s="37" t="s">
        <v>24</v>
      </c>
      <c r="E15" s="37" t="s">
        <v>25</v>
      </c>
      <c r="F15" s="37" t="s">
        <v>26</v>
      </c>
      <c r="G15" s="38" t="s">
        <v>27</v>
      </c>
      <c r="H15" s="38" t="s">
        <v>28</v>
      </c>
    </row>
    <row r="16" ht="185" customHeight="1" spans="1:8">
      <c r="A16" s="39"/>
      <c r="B16" s="40" t="s">
        <v>29</v>
      </c>
      <c r="C16" s="41"/>
      <c r="D16" s="42" t="s">
        <v>30</v>
      </c>
      <c r="E16" s="43">
        <v>1</v>
      </c>
      <c r="F16" s="43" t="s">
        <v>31</v>
      </c>
      <c r="G16" s="44">
        <v>15599</v>
      </c>
      <c r="H16" s="45">
        <f>E16*G16</f>
        <v>15599</v>
      </c>
    </row>
    <row r="17" ht="113" customHeight="1" spans="1:11">
      <c r="A17" s="48" t="s">
        <v>32</v>
      </c>
      <c r="B17" s="49"/>
      <c r="C17" s="49"/>
      <c r="D17" s="49"/>
      <c r="E17" s="49"/>
      <c r="F17" s="49"/>
      <c r="G17" s="49"/>
      <c r="H17" s="50">
        <v>700</v>
      </c>
      <c r="I17" s="46" t="s">
        <v>33</v>
      </c>
      <c r="J17" s="47"/>
      <c r="K17" s="47"/>
    </row>
    <row r="18" ht="19" customHeight="1" spans="1:11">
      <c r="A18" s="51" t="s">
        <v>34</v>
      </c>
      <c r="B18" s="52"/>
      <c r="C18" s="52"/>
      <c r="D18" s="52"/>
      <c r="E18" s="52"/>
      <c r="F18" s="52"/>
      <c r="G18" s="52"/>
      <c r="H18" s="53">
        <f>SUM(H16:H17)</f>
        <v>16299</v>
      </c>
    </row>
    <row r="19" spans="1:11">
      <c r="A19" s="54" t="s">
        <v>35</v>
      </c>
      <c r="B19" s="55"/>
      <c r="C19" s="55"/>
      <c r="D19" s="55"/>
      <c r="E19" s="55"/>
      <c r="F19" s="55"/>
      <c r="G19" s="55"/>
      <c r="H19" s="56"/>
    </row>
    <row r="20" spans="1:11">
      <c r="A20" s="57" t="s">
        <v>36</v>
      </c>
      <c r="B20" s="58" t="s">
        <v>37</v>
      </c>
      <c r="C20" s="58"/>
      <c r="D20" s="58"/>
      <c r="E20" s="58"/>
      <c r="F20" s="58"/>
      <c r="G20" s="58"/>
      <c r="H20" s="59"/>
    </row>
    <row r="21" spans="1:11">
      <c r="A21" s="57" t="s">
        <v>38</v>
      </c>
      <c r="B21" s="60" t="s">
        <v>39</v>
      </c>
      <c r="C21" s="60"/>
      <c r="D21" s="60"/>
      <c r="E21" s="60"/>
      <c r="F21" s="60"/>
      <c r="G21" s="61"/>
      <c r="H21" s="62"/>
    </row>
    <row r="22" spans="1:11">
      <c r="A22" s="57" t="s">
        <v>40</v>
      </c>
      <c r="B22" s="58" t="s">
        <v>41</v>
      </c>
      <c r="C22" s="58"/>
      <c r="D22" s="58"/>
      <c r="E22" s="58"/>
      <c r="F22" s="58"/>
      <c r="G22" s="58"/>
      <c r="H22" s="59"/>
    </row>
    <row r="23" spans="1:11">
      <c r="A23" s="57" t="s">
        <v>42</v>
      </c>
      <c r="B23" s="58" t="s">
        <v>43</v>
      </c>
      <c r="C23" s="58"/>
      <c r="D23" s="58"/>
      <c r="E23" s="58"/>
      <c r="F23" s="58"/>
      <c r="G23" s="58"/>
      <c r="H23" s="59"/>
    </row>
    <row r="24" spans="1:11">
      <c r="A24" s="57" t="s">
        <v>44</v>
      </c>
      <c r="B24" s="58" t="s">
        <v>45</v>
      </c>
      <c r="C24" s="58"/>
      <c r="D24" s="58"/>
      <c r="E24" s="58"/>
      <c r="F24" s="58"/>
      <c r="G24" s="58"/>
      <c r="H24" s="59"/>
    </row>
    <row r="25" spans="1:11">
      <c r="A25" s="57" t="s">
        <v>46</v>
      </c>
      <c r="B25" s="58" t="s">
        <v>47</v>
      </c>
      <c r="C25" s="58"/>
      <c r="D25" s="58"/>
      <c r="E25" s="58"/>
      <c r="F25" s="58"/>
      <c r="G25" s="58"/>
      <c r="H25" s="59"/>
    </row>
    <row r="26" spans="1:11">
      <c r="A26" s="57" t="s">
        <v>48</v>
      </c>
      <c r="B26" s="58" t="s">
        <v>49</v>
      </c>
      <c r="C26" s="58"/>
      <c r="D26" s="58"/>
      <c r="E26" s="58"/>
      <c r="F26" s="58"/>
      <c r="G26" s="58"/>
      <c r="H26" s="59"/>
    </row>
    <row r="27" spans="1:11">
      <c r="A27" s="57" t="s">
        <v>50</v>
      </c>
      <c r="B27" s="58" t="s">
        <v>51</v>
      </c>
      <c r="C27" s="58"/>
      <c r="D27" s="58"/>
      <c r="E27" s="58"/>
      <c r="F27" s="58"/>
      <c r="G27" s="58"/>
      <c r="H27" s="59"/>
    </row>
    <row r="28" spans="1:11">
      <c r="A28" s="57" t="s">
        <v>52</v>
      </c>
      <c r="B28" s="58" t="s">
        <v>47</v>
      </c>
      <c r="C28" s="58"/>
      <c r="D28" s="58"/>
      <c r="E28" s="58"/>
      <c r="F28" s="58"/>
      <c r="G28" s="58"/>
      <c r="H28" s="59"/>
    </row>
    <row r="29" spans="1:11">
      <c r="A29" s="57" t="s">
        <v>53</v>
      </c>
      <c r="B29" s="58" t="s">
        <v>54</v>
      </c>
      <c r="C29" s="58"/>
      <c r="D29" s="58"/>
      <c r="E29" s="58"/>
      <c r="F29" s="58"/>
      <c r="G29" s="58"/>
      <c r="H29" s="59"/>
    </row>
    <row r="30" spans="1:11">
      <c r="A30" s="91" t="s">
        <v>55</v>
      </c>
      <c r="B30" s="67"/>
      <c r="C30" s="67"/>
      <c r="D30" s="67"/>
      <c r="E30" s="67"/>
      <c r="F30" s="67"/>
      <c r="G30" s="67"/>
      <c r="H30" s="68"/>
    </row>
    <row r="31" spans="1:11">
      <c r="A31" s="69" t="s">
        <v>56</v>
      </c>
      <c r="B31" s="25"/>
      <c r="C31" s="25"/>
      <c r="D31" s="25"/>
      <c r="E31" s="25"/>
      <c r="F31" s="25"/>
      <c r="G31" s="25"/>
      <c r="H31" s="70"/>
    </row>
    <row r="32" spans="1:11">
      <c r="A32" s="69" t="s">
        <v>57</v>
      </c>
      <c r="B32" s="25"/>
      <c r="C32" s="25"/>
      <c r="D32" s="25"/>
      <c r="E32" s="25"/>
      <c r="F32" s="25"/>
      <c r="G32" s="25"/>
      <c r="H32" s="70"/>
    </row>
    <row r="33" spans="1:8">
      <c r="A33" s="71" t="s">
        <v>58</v>
      </c>
      <c r="B33" s="72"/>
      <c r="C33" s="72"/>
      <c r="D33" s="72"/>
      <c r="E33" s="73"/>
      <c r="F33" s="73"/>
      <c r="G33" s="73"/>
      <c r="H33" s="74"/>
    </row>
    <row r="34" spans="1:8">
      <c r="A34" s="75" t="s">
        <v>59</v>
      </c>
      <c r="B34" s="76"/>
      <c r="C34" s="76"/>
      <c r="D34" s="76"/>
      <c r="E34" s="76"/>
      <c r="F34" s="77"/>
      <c r="G34" s="77"/>
      <c r="H34" s="78"/>
    </row>
    <row r="35" spans="1:8">
      <c r="A35" s="69" t="s">
        <v>60</v>
      </c>
      <c r="B35" s="25"/>
      <c r="C35" s="25"/>
      <c r="D35" s="25"/>
      <c r="E35" s="25"/>
      <c r="F35" s="32"/>
      <c r="G35" s="32"/>
      <c r="H35" s="33"/>
    </row>
    <row r="36" spans="1:8">
      <c r="A36" s="69" t="s">
        <v>61</v>
      </c>
      <c r="B36" s="25"/>
      <c r="C36" s="25"/>
      <c r="D36" s="25"/>
      <c r="E36" s="25"/>
      <c r="F36" s="25"/>
      <c r="G36" s="25"/>
      <c r="H36" s="70"/>
    </row>
    <row r="37" spans="1:8">
      <c r="A37" s="79" t="s">
        <v>62</v>
      </c>
      <c r="B37" s="80"/>
      <c r="C37" s="80"/>
      <c r="D37" s="80"/>
      <c r="E37" s="81"/>
      <c r="F37" s="81"/>
      <c r="G37" s="81"/>
      <c r="H37" s="82"/>
    </row>
    <row r="38" spans="1:8">
      <c r="A38" s="83" t="s">
        <v>63</v>
      </c>
      <c r="B38" s="84"/>
      <c r="C38" s="84"/>
      <c r="D38" s="84"/>
      <c r="E38" s="85"/>
      <c r="F38" s="85"/>
      <c r="G38" s="85"/>
      <c r="H38" s="86"/>
    </row>
    <row r="39" ht="15" customHeight="1" spans="1:8">
      <c r="A39" s="87" t="s">
        <v>64</v>
      </c>
      <c r="B39" s="88"/>
      <c r="C39" s="88"/>
      <c r="D39" s="88"/>
      <c r="E39" s="88"/>
      <c r="F39" s="89"/>
      <c r="G39" s="89"/>
      <c r="H39" s="90"/>
    </row>
  </sheetData>
  <mergeCells count="36">
    <mergeCell ref="A1:H1"/>
    <mergeCell ref="A2:H2"/>
    <mergeCell ref="A3:H3"/>
    <mergeCell ref="A4:H4"/>
    <mergeCell ref="A5:H5"/>
    <mergeCell ref="A8:C8"/>
    <mergeCell ref="E8:H8"/>
    <mergeCell ref="A13:C13"/>
    <mergeCell ref="E13:H13"/>
    <mergeCell ref="B14:D14"/>
    <mergeCell ref="E14:F14"/>
    <mergeCell ref="G14:H14"/>
    <mergeCell ref="B15:C15"/>
    <mergeCell ref="B16:C16"/>
    <mergeCell ref="A17:G17"/>
    <mergeCell ref="I17:K17"/>
    <mergeCell ref="A19:H19"/>
    <mergeCell ref="B20:H20"/>
    <mergeCell ref="B21:H21"/>
    <mergeCell ref="B22:H22"/>
    <mergeCell ref="B23:H23"/>
    <mergeCell ref="B24:H24"/>
    <mergeCell ref="B26:H26"/>
    <mergeCell ref="B27:H27"/>
    <mergeCell ref="B28:H28"/>
    <mergeCell ref="B29:H29"/>
    <mergeCell ref="A30:H30"/>
    <mergeCell ref="A31:H31"/>
    <mergeCell ref="A32:H32"/>
    <mergeCell ref="A33:D33"/>
    <mergeCell ref="A34:E34"/>
    <mergeCell ref="A35:E35"/>
    <mergeCell ref="A36:H36"/>
    <mergeCell ref="A37:D37"/>
    <mergeCell ref="A38:D38"/>
    <mergeCell ref="A39:E3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8"/>
  <sheetViews>
    <sheetView zoomScale="120" zoomScaleNormal="120" topLeftCell="A16" workbookViewId="0">
      <selection activeCell="J15" sqref="J15"/>
    </sheetView>
  </sheetViews>
  <sheetFormatPr defaultColWidth="9" defaultRowHeight="14.25"/>
  <cols>
    <col min="1" max="1" width="36.1416666666667" customWidth="1"/>
    <col min="3" max="3" width="6.50833333333333" customWidth="1"/>
    <col min="4" max="4" width="14.1666666666667" customWidth="1"/>
    <col min="5" max="5" width="7.13333333333333" customWidth="1"/>
    <col min="6" max="6" width="5.88333333333333" customWidth="1"/>
    <col min="7" max="7" width="12.6083333333333" customWidth="1"/>
    <col min="8" max="8" width="22.3916666666667" customWidth="1"/>
    <col min="10" max="10" width="12.6333333333333"/>
  </cols>
  <sheetData>
    <row r="1" ht="20.25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/>
      <c r="B2" s="5"/>
      <c r="C2" s="5"/>
      <c r="D2" s="5"/>
      <c r="E2" s="5"/>
      <c r="F2" s="5"/>
      <c r="G2" s="5"/>
      <c r="H2" s="6"/>
    </row>
    <row r="3" spans="1:8">
      <c r="A3" s="7" t="s">
        <v>1</v>
      </c>
      <c r="B3" s="8"/>
      <c r="C3" s="8"/>
      <c r="D3" s="8"/>
      <c r="E3" s="8"/>
      <c r="F3" s="8"/>
      <c r="G3" s="8"/>
      <c r="H3" s="9"/>
    </row>
    <row r="4" spans="1:8">
      <c r="A4" s="7" t="s">
        <v>2</v>
      </c>
      <c r="B4" s="8"/>
      <c r="C4" s="8"/>
      <c r="D4" s="8"/>
      <c r="E4" s="8"/>
      <c r="F4" s="8"/>
      <c r="G4" s="8"/>
      <c r="H4" s="9"/>
    </row>
    <row r="5" ht="23.25" spans="1:8">
      <c r="A5" s="10" t="s">
        <v>3</v>
      </c>
      <c r="B5" s="11"/>
      <c r="C5" s="11"/>
      <c r="D5" s="11"/>
      <c r="E5" s="11"/>
      <c r="F5" s="11"/>
      <c r="G5" s="11"/>
      <c r="H5" s="12"/>
    </row>
    <row r="6" spans="1:8">
      <c r="A6" s="13"/>
      <c r="B6" s="14"/>
      <c r="C6" s="14"/>
      <c r="D6" s="14"/>
      <c r="E6" s="14"/>
      <c r="F6" s="14"/>
      <c r="G6" s="14" t="s">
        <v>4</v>
      </c>
      <c r="H6" s="15" t="s">
        <v>5</v>
      </c>
    </row>
    <row r="7" spans="1:8">
      <c r="A7" s="16"/>
      <c r="B7" s="17"/>
      <c r="C7" s="17"/>
      <c r="D7" s="17"/>
      <c r="E7" s="17"/>
      <c r="F7" s="18"/>
      <c r="G7" s="18" t="s">
        <v>6</v>
      </c>
      <c r="H7" s="15" t="s">
        <v>65</v>
      </c>
    </row>
    <row r="8" ht="33" customHeight="1" spans="1:8">
      <c r="A8" s="19" t="s">
        <v>8</v>
      </c>
      <c r="B8" s="20"/>
      <c r="C8" s="20"/>
      <c r="D8" s="21" t="s">
        <v>9</v>
      </c>
      <c r="E8" s="22"/>
      <c r="F8" s="22"/>
      <c r="G8" s="22"/>
      <c r="H8" s="23"/>
    </row>
    <row r="9" ht="11" customHeight="1" spans="1:8">
      <c r="A9" s="24"/>
      <c r="B9" s="25"/>
      <c r="C9" s="17"/>
      <c r="D9" s="26" t="s">
        <v>66</v>
      </c>
      <c r="E9" s="26"/>
      <c r="F9" s="27"/>
      <c r="G9" s="27"/>
      <c r="H9" s="28"/>
    </row>
    <row r="10" spans="1:8">
      <c r="A10" s="24" t="s">
        <v>11</v>
      </c>
      <c r="B10" s="25"/>
      <c r="C10" s="17"/>
      <c r="D10" s="26" t="s">
        <v>12</v>
      </c>
      <c r="E10" s="26"/>
      <c r="F10" s="27"/>
      <c r="G10" s="27"/>
      <c r="H10" s="28"/>
    </row>
    <row r="11" ht="51" spans="1:8">
      <c r="A11" s="29" t="s">
        <v>13</v>
      </c>
      <c r="B11" s="25"/>
      <c r="C11" s="17"/>
      <c r="D11" s="26" t="s">
        <v>14</v>
      </c>
      <c r="E11" s="26"/>
      <c r="F11" s="27"/>
      <c r="G11" s="27"/>
      <c r="H11" s="26"/>
    </row>
    <row r="12" spans="1:8">
      <c r="A12" s="29" t="s">
        <v>15</v>
      </c>
      <c r="B12" s="25"/>
      <c r="C12" s="25"/>
      <c r="D12" s="31"/>
      <c r="E12" s="32"/>
      <c r="F12" s="32"/>
      <c r="G12" s="32"/>
      <c r="H12" s="32"/>
    </row>
    <row r="13" spans="1:8">
      <c r="A13" s="29" t="s">
        <v>17</v>
      </c>
      <c r="B13" s="25"/>
      <c r="C13" s="25"/>
      <c r="D13" s="34" t="s">
        <v>18</v>
      </c>
      <c r="E13" s="32"/>
      <c r="F13" s="32"/>
      <c r="G13" s="32"/>
      <c r="H13" s="33"/>
    </row>
    <row r="14" spans="1:8">
      <c r="A14" s="35"/>
      <c r="B14" s="35" t="s">
        <v>19</v>
      </c>
      <c r="C14" s="35"/>
      <c r="D14" s="35"/>
      <c r="E14" s="36" t="s">
        <v>20</v>
      </c>
      <c r="F14" s="36"/>
      <c r="G14" s="35" t="s">
        <v>21</v>
      </c>
      <c r="H14" s="35"/>
    </row>
    <row r="15" ht="50" customHeight="1" spans="1:8">
      <c r="A15" s="37" t="s">
        <v>22</v>
      </c>
      <c r="B15" s="37" t="s">
        <v>23</v>
      </c>
      <c r="C15" s="37"/>
      <c r="D15" s="37" t="s">
        <v>24</v>
      </c>
      <c r="E15" s="37" t="s">
        <v>25</v>
      </c>
      <c r="F15" s="37" t="s">
        <v>26</v>
      </c>
      <c r="G15" s="38" t="s">
        <v>27</v>
      </c>
      <c r="H15" s="38" t="s">
        <v>28</v>
      </c>
    </row>
    <row r="16" ht="185" customHeight="1" spans="1:8">
      <c r="A16" s="39"/>
      <c r="B16" s="40" t="s">
        <v>67</v>
      </c>
      <c r="C16" s="41"/>
      <c r="D16" s="42" t="s">
        <v>68</v>
      </c>
      <c r="E16" s="43">
        <v>1</v>
      </c>
      <c r="F16" s="43" t="s">
        <v>31</v>
      </c>
      <c r="G16" s="44">
        <v>6899</v>
      </c>
      <c r="H16" s="45">
        <f>E16*G16</f>
        <v>6899</v>
      </c>
    </row>
    <row r="17" ht="100" customHeight="1" spans="1:11">
      <c r="A17" s="48" t="s">
        <v>32</v>
      </c>
      <c r="B17" s="49"/>
      <c r="C17" s="49"/>
      <c r="D17" s="49"/>
      <c r="E17" s="49"/>
      <c r="F17" s="49"/>
      <c r="G17" s="49"/>
      <c r="H17" s="50">
        <v>700</v>
      </c>
      <c r="I17" s="46" t="s">
        <v>33</v>
      </c>
      <c r="J17" s="47"/>
      <c r="K17" s="47"/>
    </row>
    <row r="18" ht="19" customHeight="1" spans="1:11">
      <c r="A18" s="51" t="s">
        <v>34</v>
      </c>
      <c r="B18" s="52"/>
      <c r="C18" s="52"/>
      <c r="D18" s="52"/>
      <c r="E18" s="52"/>
      <c r="F18" s="52"/>
      <c r="G18" s="52"/>
      <c r="H18" s="53">
        <f>SUM(H16:H17)</f>
        <v>7599</v>
      </c>
    </row>
    <row r="19" spans="1:11">
      <c r="A19" s="54" t="s">
        <v>35</v>
      </c>
      <c r="B19" s="55"/>
      <c r="C19" s="55"/>
      <c r="D19" s="55"/>
      <c r="E19" s="55"/>
      <c r="F19" s="55"/>
      <c r="G19" s="55"/>
      <c r="H19" s="56"/>
    </row>
    <row r="20" spans="1:11">
      <c r="A20" s="57" t="s">
        <v>36</v>
      </c>
      <c r="B20" s="58" t="s">
        <v>69</v>
      </c>
      <c r="C20" s="58"/>
      <c r="D20" s="58"/>
      <c r="E20" s="58"/>
      <c r="F20" s="58"/>
      <c r="G20" s="58"/>
      <c r="H20" s="59"/>
    </row>
    <row r="21" spans="1:11">
      <c r="A21" s="57" t="s">
        <v>38</v>
      </c>
      <c r="B21" s="60" t="s">
        <v>70</v>
      </c>
      <c r="C21" s="60"/>
      <c r="D21" s="60"/>
      <c r="E21" s="60"/>
      <c r="F21" s="60"/>
      <c r="G21" s="61"/>
      <c r="H21" s="62"/>
    </row>
    <row r="22" spans="1:11">
      <c r="A22" s="57" t="s">
        <v>71</v>
      </c>
      <c r="B22" s="58" t="s">
        <v>72</v>
      </c>
      <c r="C22" s="58"/>
      <c r="D22" s="58"/>
      <c r="E22" s="58"/>
      <c r="F22" s="58"/>
      <c r="G22" s="58"/>
      <c r="H22" s="59"/>
    </row>
    <row r="23" spans="1:11">
      <c r="A23" s="57" t="s">
        <v>73</v>
      </c>
      <c r="B23" s="58" t="s">
        <v>74</v>
      </c>
      <c r="C23" s="58"/>
      <c r="D23" s="58"/>
      <c r="E23" s="58"/>
      <c r="F23" s="58"/>
      <c r="G23" s="58"/>
      <c r="H23" s="59"/>
    </row>
    <row r="24" spans="1:11">
      <c r="A24" s="57" t="s">
        <v>75</v>
      </c>
      <c r="B24" s="58" t="s">
        <v>76</v>
      </c>
      <c r="C24" s="58"/>
      <c r="D24" s="58"/>
      <c r="E24" s="58"/>
      <c r="F24" s="58"/>
      <c r="G24" s="58"/>
      <c r="H24" s="59"/>
    </row>
    <row r="25" spans="1:11">
      <c r="A25" s="57" t="s">
        <v>77</v>
      </c>
      <c r="B25" s="58" t="s">
        <v>78</v>
      </c>
      <c r="C25" s="58"/>
      <c r="D25" s="58"/>
      <c r="E25" s="58"/>
      <c r="F25" s="58"/>
      <c r="G25" s="58"/>
      <c r="H25" s="59"/>
    </row>
    <row r="26" spans="1:11">
      <c r="A26" s="57" t="s">
        <v>79</v>
      </c>
      <c r="B26" s="58" t="s">
        <v>76</v>
      </c>
      <c r="C26" s="58"/>
      <c r="D26" s="58"/>
      <c r="E26" s="58"/>
      <c r="F26" s="58"/>
      <c r="G26" s="58"/>
      <c r="H26" s="59"/>
    </row>
    <row r="27" spans="1:11">
      <c r="A27" s="57" t="s">
        <v>80</v>
      </c>
      <c r="B27" s="58" t="s">
        <v>81</v>
      </c>
      <c r="C27" s="58"/>
      <c r="D27" s="58"/>
      <c r="E27" s="58"/>
      <c r="F27" s="58"/>
      <c r="G27" s="58"/>
      <c r="H27" s="59"/>
    </row>
    <row r="28" spans="1:11">
      <c r="A28" s="57" t="s">
        <v>82</v>
      </c>
      <c r="B28" s="58" t="s">
        <v>83</v>
      </c>
      <c r="C28" s="58"/>
      <c r="D28" s="58"/>
      <c r="E28" s="58"/>
      <c r="F28" s="58"/>
      <c r="G28" s="58"/>
      <c r="H28" s="59"/>
    </row>
    <row r="29" spans="1:11">
      <c r="A29" s="57" t="s">
        <v>84</v>
      </c>
      <c r="B29" s="58" t="s">
        <v>85</v>
      </c>
      <c r="C29" s="58"/>
      <c r="D29" s="58"/>
      <c r="E29" s="58"/>
      <c r="F29" s="58"/>
      <c r="G29" s="58"/>
      <c r="H29" s="59"/>
    </row>
    <row r="30" spans="1:11">
      <c r="A30" s="57" t="s">
        <v>86</v>
      </c>
      <c r="B30" s="58" t="s">
        <v>87</v>
      </c>
      <c r="C30" s="58"/>
      <c r="D30" s="58"/>
      <c r="E30" s="58"/>
      <c r="F30" s="58"/>
      <c r="G30" s="58"/>
      <c r="H30" s="59"/>
    </row>
    <row r="31" spans="1:11">
      <c r="A31" s="57" t="s">
        <v>88</v>
      </c>
      <c r="B31" s="58" t="s">
        <v>89</v>
      </c>
      <c r="C31" s="58"/>
      <c r="D31" s="58"/>
      <c r="E31" s="58"/>
      <c r="F31" s="58"/>
      <c r="G31" s="58"/>
      <c r="H31" s="59"/>
    </row>
    <row r="32" ht="12" customHeight="1" spans="1:11">
      <c r="A32" s="57" t="s">
        <v>90</v>
      </c>
      <c r="B32" s="58" t="s">
        <v>91</v>
      </c>
      <c r="C32" s="58"/>
      <c r="D32" s="58"/>
      <c r="E32" s="58"/>
      <c r="F32" s="58"/>
      <c r="G32" s="58"/>
      <c r="H32" s="59"/>
    </row>
    <row r="33" spans="1:8">
      <c r="A33" s="57" t="s">
        <v>92</v>
      </c>
      <c r="B33" s="58" t="s">
        <v>93</v>
      </c>
      <c r="C33" s="58"/>
      <c r="D33" s="58"/>
      <c r="E33" s="58"/>
      <c r="F33" s="58"/>
      <c r="G33" s="58"/>
      <c r="H33" s="59"/>
    </row>
    <row r="34" spans="1:8">
      <c r="A34" s="57" t="s">
        <v>94</v>
      </c>
      <c r="B34" s="58" t="s">
        <v>76</v>
      </c>
      <c r="C34" s="58"/>
      <c r="D34" s="58"/>
      <c r="E34" s="58"/>
      <c r="F34" s="58"/>
      <c r="G34" s="58"/>
      <c r="H34" s="59"/>
    </row>
    <row r="35" spans="1:8">
      <c r="A35" s="57" t="s">
        <v>95</v>
      </c>
      <c r="B35" s="58" t="s">
        <v>96</v>
      </c>
      <c r="C35" s="58"/>
      <c r="D35" s="58"/>
      <c r="E35" s="58"/>
      <c r="F35" s="58"/>
      <c r="G35" s="58"/>
      <c r="H35" s="59"/>
    </row>
    <row r="36" spans="1:8">
      <c r="A36" s="57" t="s">
        <v>97</v>
      </c>
      <c r="B36" s="58" t="s">
        <v>98</v>
      </c>
      <c r="C36" s="58"/>
      <c r="D36" s="58"/>
      <c r="E36" s="58"/>
      <c r="F36" s="58"/>
      <c r="G36" s="58"/>
      <c r="H36" s="59"/>
    </row>
    <row r="37" spans="1:8">
      <c r="A37" s="63" t="s">
        <v>99</v>
      </c>
      <c r="B37" s="63" t="s">
        <v>100</v>
      </c>
      <c r="C37" s="64"/>
      <c r="D37" s="64"/>
      <c r="E37" s="64"/>
      <c r="F37" s="64"/>
      <c r="G37" s="64"/>
      <c r="H37" s="65"/>
    </row>
    <row r="38" spans="1:8">
      <c r="A38" s="66" t="s">
        <v>55</v>
      </c>
      <c r="B38" s="67"/>
      <c r="C38" s="67"/>
      <c r="D38" s="67"/>
      <c r="E38" s="67"/>
      <c r="F38" s="67"/>
      <c r="G38" s="67"/>
      <c r="H38" s="68"/>
    </row>
    <row r="39" spans="1:8">
      <c r="A39" s="69" t="s">
        <v>56</v>
      </c>
      <c r="B39" s="25"/>
      <c r="C39" s="25"/>
      <c r="D39" s="25"/>
      <c r="E39" s="25"/>
      <c r="F39" s="25"/>
      <c r="G39" s="25"/>
      <c r="H39" s="70"/>
    </row>
    <row r="40" spans="1:8">
      <c r="A40" s="69" t="s">
        <v>57</v>
      </c>
      <c r="B40" s="25"/>
      <c r="C40" s="25"/>
      <c r="D40" s="25"/>
      <c r="E40" s="25"/>
      <c r="F40" s="25"/>
      <c r="G40" s="25"/>
      <c r="H40" s="70"/>
    </row>
    <row r="41" spans="1:8">
      <c r="A41" s="71" t="s">
        <v>58</v>
      </c>
      <c r="B41" s="72"/>
      <c r="C41" s="72"/>
      <c r="D41" s="72"/>
      <c r="E41" s="73"/>
      <c r="F41" s="73"/>
      <c r="G41" s="73"/>
      <c r="H41" s="74"/>
    </row>
    <row r="42" spans="1:8">
      <c r="A42" s="75" t="s">
        <v>59</v>
      </c>
      <c r="B42" s="76"/>
      <c r="C42" s="76"/>
      <c r="D42" s="76"/>
      <c r="E42" s="76"/>
      <c r="F42" s="77"/>
      <c r="G42" s="77"/>
      <c r="H42" s="78"/>
    </row>
    <row r="43" spans="1:8">
      <c r="A43" s="69" t="s">
        <v>60</v>
      </c>
      <c r="B43" s="25"/>
      <c r="C43" s="25"/>
      <c r="D43" s="25"/>
      <c r="E43" s="25"/>
      <c r="F43" s="32"/>
      <c r="G43" s="32"/>
      <c r="H43" s="33"/>
    </row>
    <row r="44" spans="1:8">
      <c r="A44" s="69" t="s">
        <v>101</v>
      </c>
      <c r="B44" s="25"/>
      <c r="C44" s="25"/>
      <c r="D44" s="25"/>
      <c r="E44" s="25"/>
      <c r="F44" s="25"/>
      <c r="G44" s="25"/>
      <c r="H44" s="70"/>
    </row>
    <row r="45" spans="1:8">
      <c r="A45" s="69" t="s">
        <v>102</v>
      </c>
      <c r="B45" s="25"/>
      <c r="C45" s="25"/>
      <c r="D45" s="25"/>
      <c r="E45" s="25"/>
      <c r="F45" s="25"/>
      <c r="G45" s="25"/>
      <c r="H45" s="70"/>
    </row>
    <row r="46" spans="1:8">
      <c r="A46" s="79" t="s">
        <v>62</v>
      </c>
      <c r="B46" s="80"/>
      <c r="C46" s="80"/>
      <c r="D46" s="80"/>
      <c r="E46" s="81"/>
      <c r="F46" s="81"/>
      <c r="G46" s="81"/>
      <c r="H46" s="82"/>
    </row>
    <row r="47" spans="1:8">
      <c r="A47" s="83" t="s">
        <v>63</v>
      </c>
      <c r="B47" s="84"/>
      <c r="C47" s="84"/>
      <c r="D47" s="84"/>
      <c r="E47" s="85"/>
      <c r="F47" s="85"/>
      <c r="G47" s="85"/>
      <c r="H47" s="86"/>
    </row>
    <row r="48" ht="15" customHeight="1" spans="1:8">
      <c r="A48" s="87" t="s">
        <v>64</v>
      </c>
      <c r="B48" s="88"/>
      <c r="C48" s="88"/>
      <c r="D48" s="88"/>
      <c r="E48" s="88"/>
      <c r="F48" s="89"/>
      <c r="G48" s="89"/>
      <c r="H48" s="90"/>
    </row>
  </sheetData>
  <mergeCells count="39">
    <mergeCell ref="A1:H1"/>
    <mergeCell ref="A2:H2"/>
    <mergeCell ref="A3:H3"/>
    <mergeCell ref="A4:H4"/>
    <mergeCell ref="A5:H5"/>
    <mergeCell ref="A8:C8"/>
    <mergeCell ref="E8:H8"/>
    <mergeCell ref="A13:C13"/>
    <mergeCell ref="E13:H13"/>
    <mergeCell ref="B14:D14"/>
    <mergeCell ref="E14:F14"/>
    <mergeCell ref="G14:H14"/>
    <mergeCell ref="B15:C15"/>
    <mergeCell ref="B16:C16"/>
    <mergeCell ref="A17:G17"/>
    <mergeCell ref="I17:K17"/>
    <mergeCell ref="A19:H19"/>
    <mergeCell ref="B20:H20"/>
    <mergeCell ref="B21:H21"/>
    <mergeCell ref="B23:H23"/>
    <mergeCell ref="B24:H24"/>
    <mergeCell ref="B25:H25"/>
    <mergeCell ref="B27:H27"/>
    <mergeCell ref="B28:H28"/>
    <mergeCell ref="B29:H29"/>
    <mergeCell ref="B33:H33"/>
    <mergeCell ref="B34:H34"/>
    <mergeCell ref="B36:H36"/>
    <mergeCell ref="A38:H38"/>
    <mergeCell ref="A39:H39"/>
    <mergeCell ref="A40:H40"/>
    <mergeCell ref="A41:D41"/>
    <mergeCell ref="A42:E42"/>
    <mergeCell ref="A43:E43"/>
    <mergeCell ref="A44:H44"/>
    <mergeCell ref="A45:H45"/>
    <mergeCell ref="A46:D46"/>
    <mergeCell ref="A47:D47"/>
    <mergeCell ref="A48:E48"/>
  </mergeCells>
  <pageMargins left="0.700694444444445" right="0.700694444444445" top="0.393055555555556" bottom="0.393055555555556" header="0.298611111111111" footer="0.298611111111111"/>
  <pageSetup paperSize="9" scale="84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workbookViewId="0">
      <selection activeCell="A19" sqref="A19:H19"/>
    </sheetView>
  </sheetViews>
  <sheetFormatPr defaultColWidth="9" defaultRowHeight="14.25"/>
  <cols>
    <col min="1" max="1" width="33.25" customWidth="1"/>
    <col min="2" max="2" width="16.375" customWidth="1"/>
    <col min="4" max="4" width="15.5" customWidth="1"/>
    <col min="5" max="5" width="13" customWidth="1"/>
    <col min="7" max="7" width="9.5"/>
    <col min="8" max="8" width="17.125" customWidth="1"/>
  </cols>
  <sheetData>
    <row r="1" ht="20.25" spans="1:11">
      <c r="A1" s="1" t="s">
        <v>0</v>
      </c>
      <c r="B1" s="2"/>
      <c r="C1" s="2"/>
      <c r="D1" s="2"/>
      <c r="E1" s="2"/>
      <c r="F1" s="2"/>
      <c r="G1" s="2"/>
      <c r="H1" s="3"/>
    </row>
    <row r="2" spans="1:11">
      <c r="A2" s="4"/>
      <c r="B2" s="5"/>
      <c r="C2" s="5"/>
      <c r="D2" s="5"/>
      <c r="E2" s="5"/>
      <c r="F2" s="5"/>
      <c r="G2" s="5"/>
      <c r="H2" s="6"/>
    </row>
    <row r="3" spans="1:11">
      <c r="A3" s="7" t="s">
        <v>1</v>
      </c>
      <c r="B3" s="8"/>
      <c r="C3" s="8"/>
      <c r="D3" s="8"/>
      <c r="E3" s="8"/>
      <c r="F3" s="8"/>
      <c r="G3" s="8"/>
      <c r="H3" s="9"/>
    </row>
    <row r="4" spans="1:11">
      <c r="A4" s="7" t="s">
        <v>2</v>
      </c>
      <c r="B4" s="8"/>
      <c r="C4" s="8"/>
      <c r="D4" s="8"/>
      <c r="E4" s="8"/>
      <c r="F4" s="8"/>
      <c r="G4" s="8"/>
      <c r="H4" s="9"/>
    </row>
    <row r="5" ht="23.25" spans="1:11">
      <c r="A5" s="10" t="s">
        <v>3</v>
      </c>
      <c r="B5" s="11"/>
      <c r="C5" s="11"/>
      <c r="D5" s="11"/>
      <c r="E5" s="11"/>
      <c r="F5" s="11"/>
      <c r="G5" s="11"/>
      <c r="H5" s="12"/>
    </row>
    <row r="6" spans="1:11">
      <c r="A6" s="13"/>
      <c r="B6" s="14"/>
      <c r="C6" s="14"/>
      <c r="D6" s="14"/>
      <c r="E6" s="14"/>
      <c r="F6" s="14"/>
      <c r="G6" s="14" t="s">
        <v>4</v>
      </c>
      <c r="H6" s="15" t="s">
        <v>103</v>
      </c>
    </row>
    <row r="7" spans="1:11">
      <c r="A7" s="16"/>
      <c r="B7" s="17"/>
      <c r="C7" s="17"/>
      <c r="D7" s="17"/>
      <c r="E7" s="17"/>
      <c r="F7" s="18"/>
      <c r="G7" s="18" t="s">
        <v>6</v>
      </c>
      <c r="H7" s="15" t="s">
        <v>65</v>
      </c>
    </row>
    <row r="8" spans="1:11">
      <c r="A8" s="19" t="s">
        <v>8</v>
      </c>
      <c r="B8" s="20"/>
      <c r="C8" s="20"/>
      <c r="D8" s="21" t="s">
        <v>9</v>
      </c>
      <c r="E8" s="22"/>
      <c r="F8" s="22"/>
      <c r="G8" s="22"/>
      <c r="H8" s="23"/>
    </row>
    <row r="9" spans="1:11">
      <c r="A9" s="24"/>
      <c r="B9" s="25"/>
      <c r="C9" s="17"/>
      <c r="D9" s="26" t="s">
        <v>66</v>
      </c>
      <c r="E9" s="26"/>
      <c r="F9" s="27"/>
      <c r="G9" s="27"/>
      <c r="H9" s="28"/>
    </row>
    <row r="10" spans="1:11">
      <c r="A10" s="24" t="s">
        <v>11</v>
      </c>
      <c r="B10" s="25"/>
      <c r="C10" s="17"/>
      <c r="D10" s="26" t="s">
        <v>12</v>
      </c>
      <c r="E10" s="26"/>
      <c r="F10" s="27"/>
      <c r="G10" s="27"/>
      <c r="H10" s="28"/>
    </row>
    <row r="11" ht="97" customHeight="1" spans="1:11">
      <c r="A11" s="29" t="s">
        <v>13</v>
      </c>
      <c r="B11" s="25"/>
      <c r="C11" s="17"/>
      <c r="D11" s="26" t="s">
        <v>14</v>
      </c>
      <c r="E11" s="26"/>
      <c r="F11" s="27"/>
      <c r="G11" s="27"/>
      <c r="H11" s="30"/>
    </row>
    <row r="12" ht="29" customHeight="1" spans="1:11">
      <c r="A12" s="29" t="s">
        <v>15</v>
      </c>
      <c r="B12" s="25"/>
      <c r="C12" s="25"/>
      <c r="D12" s="31"/>
      <c r="E12" s="32"/>
      <c r="F12" s="32"/>
      <c r="G12" s="32"/>
      <c r="H12" s="33"/>
    </row>
    <row r="13" spans="1:11">
      <c r="A13" s="29" t="s">
        <v>17</v>
      </c>
      <c r="B13" s="25"/>
      <c r="C13" s="25"/>
      <c r="D13" s="34" t="s">
        <v>18</v>
      </c>
      <c r="E13" s="32"/>
      <c r="F13" s="32"/>
      <c r="G13" s="32"/>
      <c r="H13" s="33"/>
    </row>
    <row r="14" ht="37" customHeight="1" spans="1:11">
      <c r="A14" s="35"/>
      <c r="B14" s="35" t="s">
        <v>19</v>
      </c>
      <c r="C14" s="35"/>
      <c r="D14" s="35"/>
      <c r="E14" s="36" t="s">
        <v>20</v>
      </c>
      <c r="F14" s="36"/>
      <c r="G14" s="35" t="s">
        <v>21</v>
      </c>
      <c r="H14" s="35"/>
    </row>
    <row r="15" ht="25.5" spans="1:11">
      <c r="A15" s="37" t="s">
        <v>22</v>
      </c>
      <c r="B15" s="37" t="s">
        <v>23</v>
      </c>
      <c r="C15" s="37"/>
      <c r="D15" s="37" t="s">
        <v>24</v>
      </c>
      <c r="E15" s="37" t="s">
        <v>25</v>
      </c>
      <c r="F15" s="37" t="s">
        <v>26</v>
      </c>
      <c r="G15" s="38" t="s">
        <v>27</v>
      </c>
      <c r="H15" s="38" t="s">
        <v>28</v>
      </c>
    </row>
    <row r="16" ht="229" customHeight="1" spans="1:11">
      <c r="A16" s="39" t="s">
        <v>32</v>
      </c>
      <c r="B16" s="40" t="s">
        <v>67</v>
      </c>
      <c r="C16" s="41"/>
      <c r="D16" s="42" t="s">
        <v>104</v>
      </c>
      <c r="E16" s="43">
        <v>1</v>
      </c>
      <c r="F16" s="43" t="s">
        <v>31</v>
      </c>
      <c r="G16" s="44">
        <v>8699</v>
      </c>
      <c r="H16" s="45">
        <f>E16*G16</f>
        <v>8699</v>
      </c>
      <c r="I16" s="46"/>
      <c r="J16" s="47"/>
      <c r="K16" s="47"/>
    </row>
    <row r="17" ht="202" customHeight="1" spans="1:11">
      <c r="A17" s="48" t="s">
        <v>32</v>
      </c>
      <c r="B17" s="49"/>
      <c r="C17" s="49"/>
      <c r="D17" s="49"/>
      <c r="E17" s="49"/>
      <c r="F17" s="49"/>
      <c r="G17" s="49"/>
      <c r="H17" s="50">
        <v>700</v>
      </c>
      <c r="I17" s="46" t="s">
        <v>33</v>
      </c>
      <c r="J17" s="47"/>
      <c r="K17" s="47"/>
    </row>
    <row r="18" ht="70" customHeight="1" spans="1:11">
      <c r="A18" s="51" t="s">
        <v>34</v>
      </c>
      <c r="B18" s="52"/>
      <c r="C18" s="52"/>
      <c r="D18" s="52"/>
      <c r="E18" s="52"/>
      <c r="F18" s="52"/>
      <c r="G18" s="52"/>
      <c r="H18" s="53">
        <f>SUM(H16:H17)</f>
        <v>9399</v>
      </c>
    </row>
    <row r="19" spans="1:11">
      <c r="A19" s="54" t="s">
        <v>35</v>
      </c>
      <c r="B19" s="55"/>
      <c r="C19" s="55"/>
      <c r="D19" s="55"/>
      <c r="E19" s="55"/>
      <c r="F19" s="55"/>
      <c r="G19" s="55"/>
      <c r="H19" s="56"/>
    </row>
    <row r="20" spans="1:11">
      <c r="A20" s="57" t="s">
        <v>36</v>
      </c>
      <c r="B20" s="58" t="s">
        <v>69</v>
      </c>
      <c r="C20" s="58"/>
      <c r="D20" s="58"/>
      <c r="E20" s="58"/>
      <c r="F20" s="58"/>
      <c r="G20" s="58"/>
      <c r="H20" s="59"/>
    </row>
    <row r="21" spans="1:11">
      <c r="A21" s="57" t="s">
        <v>38</v>
      </c>
      <c r="B21" s="60" t="s">
        <v>105</v>
      </c>
      <c r="C21" s="60"/>
      <c r="D21" s="60"/>
      <c r="E21" s="60"/>
      <c r="F21" s="60"/>
      <c r="G21" s="61"/>
      <c r="H21" s="62"/>
    </row>
    <row r="22" spans="1:11">
      <c r="A22" s="57" t="s">
        <v>71</v>
      </c>
      <c r="B22" s="58" t="s">
        <v>72</v>
      </c>
      <c r="C22" s="58"/>
      <c r="D22" s="58"/>
      <c r="E22" s="58"/>
      <c r="F22" s="58"/>
      <c r="G22" s="58"/>
      <c r="H22" s="59"/>
    </row>
    <row r="23" spans="1:11">
      <c r="A23" s="57" t="s">
        <v>73</v>
      </c>
      <c r="B23" s="58" t="s">
        <v>74</v>
      </c>
      <c r="C23" s="58"/>
      <c r="D23" s="58"/>
      <c r="E23" s="58"/>
      <c r="F23" s="58"/>
      <c r="G23" s="58"/>
      <c r="H23" s="59"/>
    </row>
    <row r="24" spans="1:11">
      <c r="A24" s="57" t="s">
        <v>75</v>
      </c>
      <c r="B24" s="58" t="s">
        <v>76</v>
      </c>
      <c r="C24" s="58"/>
      <c r="D24" s="58"/>
      <c r="E24" s="58"/>
      <c r="F24" s="58"/>
      <c r="G24" s="58"/>
      <c r="H24" s="59"/>
    </row>
    <row r="25" spans="1:11">
      <c r="A25" s="57" t="s">
        <v>77</v>
      </c>
      <c r="B25" s="58" t="s">
        <v>78</v>
      </c>
      <c r="C25" s="58"/>
      <c r="D25" s="58"/>
      <c r="E25" s="58"/>
      <c r="F25" s="58"/>
      <c r="G25" s="58"/>
      <c r="H25" s="59"/>
    </row>
    <row r="26" spans="1:11">
      <c r="A26" s="57" t="s">
        <v>79</v>
      </c>
      <c r="B26" s="58" t="s">
        <v>76</v>
      </c>
      <c r="C26" s="58"/>
      <c r="D26" s="58"/>
      <c r="E26" s="58"/>
      <c r="F26" s="58"/>
      <c r="G26" s="58"/>
      <c r="H26" s="59"/>
    </row>
    <row r="27" spans="1:11">
      <c r="A27" s="57" t="s">
        <v>80</v>
      </c>
      <c r="B27" s="58" t="s">
        <v>81</v>
      </c>
      <c r="C27" s="58"/>
      <c r="D27" s="58"/>
      <c r="E27" s="58"/>
      <c r="F27" s="58"/>
      <c r="G27" s="58"/>
      <c r="H27" s="59"/>
    </row>
    <row r="28" spans="1:11">
      <c r="A28" s="57" t="s">
        <v>82</v>
      </c>
      <c r="B28" s="58" t="s">
        <v>83</v>
      </c>
      <c r="C28" s="58"/>
      <c r="D28" s="58"/>
      <c r="E28" s="58"/>
      <c r="F28" s="58"/>
      <c r="G28" s="58"/>
      <c r="H28" s="59"/>
    </row>
    <row r="29" spans="1:11">
      <c r="A29" s="57" t="s">
        <v>84</v>
      </c>
      <c r="B29" s="58" t="s">
        <v>85</v>
      </c>
      <c r="C29" s="58"/>
      <c r="D29" s="58"/>
      <c r="E29" s="58"/>
      <c r="F29" s="58"/>
      <c r="G29" s="58"/>
      <c r="H29" s="59"/>
    </row>
    <row r="30" spans="1:11">
      <c r="A30" s="57" t="s">
        <v>86</v>
      </c>
      <c r="B30" s="58" t="s">
        <v>106</v>
      </c>
      <c r="C30" s="58"/>
      <c r="D30" s="58"/>
      <c r="E30" s="58"/>
      <c r="F30" s="58"/>
      <c r="G30" s="58"/>
      <c r="H30" s="59"/>
    </row>
    <row r="31" spans="1:11">
      <c r="A31" s="57" t="s">
        <v>88</v>
      </c>
      <c r="B31" s="58" t="s">
        <v>89</v>
      </c>
      <c r="C31" s="58"/>
      <c r="D31" s="58"/>
      <c r="E31" s="58"/>
      <c r="F31" s="58"/>
      <c r="G31" s="58"/>
      <c r="H31" s="59"/>
    </row>
    <row r="32" spans="1:11">
      <c r="A32" s="57" t="s">
        <v>90</v>
      </c>
      <c r="B32" s="58" t="s">
        <v>107</v>
      </c>
      <c r="C32" s="58"/>
      <c r="D32" s="58"/>
      <c r="E32" s="58"/>
      <c r="F32" s="58"/>
      <c r="G32" s="58"/>
      <c r="H32" s="59"/>
    </row>
    <row r="33" spans="1:8">
      <c r="A33" s="57" t="s">
        <v>92</v>
      </c>
      <c r="B33" s="58" t="s">
        <v>93</v>
      </c>
      <c r="C33" s="58"/>
      <c r="D33" s="58"/>
      <c r="E33" s="58"/>
      <c r="F33" s="58"/>
      <c r="G33" s="58"/>
      <c r="H33" s="59"/>
    </row>
    <row r="34" spans="1:8">
      <c r="A34" s="57" t="s">
        <v>94</v>
      </c>
      <c r="B34" s="58" t="s">
        <v>76</v>
      </c>
      <c r="C34" s="58"/>
      <c r="D34" s="58"/>
      <c r="E34" s="58"/>
      <c r="F34" s="58"/>
      <c r="G34" s="58"/>
      <c r="H34" s="59"/>
    </row>
    <row r="35" spans="1:8">
      <c r="A35" s="57" t="s">
        <v>95</v>
      </c>
      <c r="B35" s="58" t="s">
        <v>96</v>
      </c>
      <c r="C35" s="58"/>
      <c r="D35" s="58"/>
      <c r="E35" s="58"/>
      <c r="F35" s="58"/>
      <c r="G35" s="58"/>
      <c r="H35" s="59"/>
    </row>
    <row r="36" spans="1:8">
      <c r="A36" s="57" t="s">
        <v>97</v>
      </c>
      <c r="B36" s="58" t="s">
        <v>98</v>
      </c>
      <c r="C36" s="58"/>
      <c r="D36" s="58"/>
      <c r="E36" s="58"/>
      <c r="F36" s="58"/>
      <c r="G36" s="58"/>
      <c r="H36" s="59"/>
    </row>
    <row r="37" spans="1:8">
      <c r="A37" s="63" t="s">
        <v>99</v>
      </c>
      <c r="B37" s="63" t="s">
        <v>100</v>
      </c>
      <c r="C37" s="64"/>
      <c r="D37" s="64"/>
      <c r="E37" s="64"/>
      <c r="F37" s="64"/>
      <c r="G37" s="64"/>
      <c r="H37" s="65"/>
    </row>
    <row r="38" spans="1:8">
      <c r="A38" s="66" t="s">
        <v>55</v>
      </c>
      <c r="B38" s="67"/>
      <c r="C38" s="67"/>
      <c r="D38" s="67"/>
      <c r="E38" s="67"/>
      <c r="F38" s="67"/>
      <c r="G38" s="67"/>
      <c r="H38" s="68"/>
    </row>
    <row r="39" spans="1:8">
      <c r="A39" s="69" t="s">
        <v>56</v>
      </c>
      <c r="B39" s="25"/>
      <c r="C39" s="25"/>
      <c r="D39" s="25"/>
      <c r="E39" s="25"/>
      <c r="F39" s="25"/>
      <c r="G39" s="25"/>
      <c r="H39" s="70"/>
    </row>
    <row r="40" spans="1:8">
      <c r="A40" s="69" t="s">
        <v>57</v>
      </c>
      <c r="B40" s="25"/>
      <c r="C40" s="25"/>
      <c r="D40" s="25"/>
      <c r="E40" s="25"/>
      <c r="F40" s="25"/>
      <c r="G40" s="25"/>
      <c r="H40" s="70"/>
    </row>
    <row r="41" spans="1:8">
      <c r="A41" s="71" t="s">
        <v>58</v>
      </c>
      <c r="B41" s="72"/>
      <c r="C41" s="72"/>
      <c r="D41" s="72"/>
      <c r="E41" s="73"/>
      <c r="F41" s="73"/>
      <c r="G41" s="73"/>
      <c r="H41" s="74"/>
    </row>
    <row r="42" spans="1:8">
      <c r="A42" s="75" t="s">
        <v>59</v>
      </c>
      <c r="B42" s="76"/>
      <c r="C42" s="76"/>
      <c r="D42" s="76"/>
      <c r="E42" s="76"/>
      <c r="F42" s="77"/>
      <c r="G42" s="77"/>
      <c r="H42" s="78"/>
    </row>
    <row r="43" spans="1:8">
      <c r="A43" s="69" t="s">
        <v>60</v>
      </c>
      <c r="B43" s="25"/>
      <c r="C43" s="25"/>
      <c r="D43" s="25"/>
      <c r="E43" s="25"/>
      <c r="F43" s="32"/>
      <c r="G43" s="32"/>
      <c r="H43" s="33"/>
    </row>
    <row r="44" spans="1:8">
      <c r="A44" s="69" t="s">
        <v>101</v>
      </c>
      <c r="B44" s="25"/>
      <c r="C44" s="25"/>
      <c r="D44" s="25"/>
      <c r="E44" s="25"/>
      <c r="F44" s="25"/>
      <c r="G44" s="25"/>
      <c r="H44" s="70"/>
    </row>
    <row r="45" spans="1:8">
      <c r="A45" s="69" t="s">
        <v>102</v>
      </c>
      <c r="B45" s="25"/>
      <c r="C45" s="25"/>
      <c r="D45" s="25"/>
      <c r="E45" s="25"/>
      <c r="F45" s="25"/>
      <c r="G45" s="25"/>
      <c r="H45" s="70"/>
    </row>
    <row r="46" spans="1:8">
      <c r="A46" s="79" t="s">
        <v>62</v>
      </c>
      <c r="B46" s="80"/>
      <c r="C46" s="80"/>
      <c r="D46" s="80"/>
      <c r="E46" s="81"/>
      <c r="F46" s="81"/>
      <c r="G46" s="81"/>
      <c r="H46" s="82"/>
    </row>
    <row r="47" spans="1:8">
      <c r="A47" s="83" t="s">
        <v>63</v>
      </c>
      <c r="B47" s="84"/>
      <c r="C47" s="84"/>
      <c r="D47" s="84"/>
      <c r="E47" s="85"/>
      <c r="F47" s="85"/>
      <c r="G47" s="85"/>
      <c r="H47" s="86"/>
    </row>
  </sheetData>
  <mergeCells count="39">
    <mergeCell ref="A1:H1"/>
    <mergeCell ref="A2:H2"/>
    <mergeCell ref="A3:H3"/>
    <mergeCell ref="A4:H4"/>
    <mergeCell ref="A5:H5"/>
    <mergeCell ref="A8:C8"/>
    <mergeCell ref="E8:H8"/>
    <mergeCell ref="A13:C13"/>
    <mergeCell ref="E13:H13"/>
    <mergeCell ref="B14:D14"/>
    <mergeCell ref="E14:F14"/>
    <mergeCell ref="G14:H14"/>
    <mergeCell ref="B15:C15"/>
    <mergeCell ref="B16:C16"/>
    <mergeCell ref="I16:K16"/>
    <mergeCell ref="A17:G17"/>
    <mergeCell ref="I17:K17"/>
    <mergeCell ref="A19:H19"/>
    <mergeCell ref="B20:H20"/>
    <mergeCell ref="B21:H21"/>
    <mergeCell ref="B23:H23"/>
    <mergeCell ref="B24:H24"/>
    <mergeCell ref="B25:H25"/>
    <mergeCell ref="B27:H27"/>
    <mergeCell ref="B28:H28"/>
    <mergeCell ref="B29:H29"/>
    <mergeCell ref="B33:H33"/>
    <mergeCell ref="B34:H34"/>
    <mergeCell ref="B36:H36"/>
    <mergeCell ref="A38:H38"/>
    <mergeCell ref="A39:H39"/>
    <mergeCell ref="A40:H40"/>
    <mergeCell ref="A41:D41"/>
    <mergeCell ref="A42:E42"/>
    <mergeCell ref="A43:E43"/>
    <mergeCell ref="A44:H44"/>
    <mergeCell ref="A45:H45"/>
    <mergeCell ref="A46:D46"/>
    <mergeCell ref="A47:D4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Fiber laser cutting machine</vt:lpstr>
      <vt:lpstr>CO2 laser cutting machine</vt:lpstr>
      <vt:lpstr>CO2 laser cutting machine 1325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NTN-AN20</dc:creator>
  <cp:lastModifiedBy></cp:lastModifiedBy>
  <dcterms:created xsi:type="dcterms:W3CDTF">2015-06-04T18:17:00Z</dcterms:created>
  <dcterms:modified xsi:type="dcterms:W3CDTF">2026-07-08T02:19:49Z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F8A9B0A8BD4747AD87222BBEFD731D36_13</vt:lpwstr>
  </property>
  <property fmtid="{D5CDD505-2E9C-101B-9397-08002B2CF9AE}" pid="4" name="commondata">
    <vt:lpwstr>eyJoZGlkIjoiOWFmZTI2OTcwZTk3ZTM5YzBmZjBhYTNhYjYxMjRiM2UifQ==</vt:lpwstr>
  </property>
  <property fmtid="{D5CDD505-2E9C-101B-9397-08002B2CF9AE}" pid="5" name="CalculationRule">
    <vt:i4>0</vt:i4>
  </property>
</Properties>
</file>